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K:\BESS STAND ALONE\SON REUS\Anteproyecto\LE\00 TRABAJO\L30kV\05.Presupuesto\"/>
    </mc:Choice>
  </mc:AlternateContent>
  <xr:revisionPtr revIDLastSave="0" documentId="13_ncr:1_{EC6155C3-7EF4-4F12-8EAF-C3E64DE3895E}" xr6:coauthVersionLast="47" xr6:coauthVersionMax="47" xr10:uidLastSave="{00000000-0000-0000-0000-000000000000}"/>
  <bookViews>
    <workbookView xWindow="-120" yWindow="-120" windowWidth="29040" windowHeight="15720" tabRatio="853" activeTab="1" xr2:uid="{D4ABAA02-7AC3-4859-AD22-4BE66C5B139B}"/>
  </bookViews>
  <sheets>
    <sheet name="INDICACIONES" sheetId="29" r:id="rId1"/>
    <sheet name="1.- datos aéreo" sheetId="27" r:id="rId2"/>
    <sheet name="2.- datos subt" sheetId="28" r:id="rId3"/>
    <sheet name="Cruces" sheetId="34" r:id="rId4"/>
    <sheet name="PRESUPUESTO P" sheetId="21" r:id="rId5"/>
    <sheet name="PRESUPUESTO  TTMM 1 UBARRUNDIA" sheetId="33" r:id="rId6"/>
    <sheet name="PRESUPUESTO TTMM 2  ZIGOITIA" sheetId="31" r:id="rId7"/>
    <sheet name="PRESUPUESTO TTMM 3 no hay" sheetId="32" r:id="rId8"/>
    <sheet name="EGR 1-copiar en word 0 EGR" sheetId="23" r:id="rId9"/>
    <sheet name="EGR2 2--copiar en word 1 EGR" sheetId="24" r:id="rId10"/>
    <sheet name="EGR 3-copiar en word 2 EGR" sheetId="25" r:id="rId11"/>
    <sheet name="EGR 4-copiar en word 3 EGR" sheetId="26" r:id="rId12"/>
    <sheet name="ESS 1-input-copiar en word ESS" sheetId="22" r:id="rId13"/>
  </sheets>
  <definedNames>
    <definedName name="_xlnm._FilterDatabase" localSheetId="1" hidden="1">'1.- datos aéreo'!$A$48:$O$82</definedName>
    <definedName name="_xlnm.Print_Area" localSheetId="8">'EGR 1-copiar en word 0 EGR'!$A$1:$F$11</definedName>
    <definedName name="_xlnm.Print_Area" localSheetId="11">'EGR 4-copiar en word 3 EGR'!$A$1:$J$31</definedName>
    <definedName name="_xlnm.Print_Area" localSheetId="9">'EGR2 2--copiar en word 1 EGR'!$A$1:$G$45</definedName>
    <definedName name="destinos" localSheetId="8">'EGR 1-copiar en word 0 EGR'!#REF!</definedName>
    <definedName name="destinos">'EGR2 2--copiar en word 1 EGR'!#REF!</definedName>
    <definedName name="no" localSheetId="8">'EGR 1-copiar en word 0 EGR'!#REF!</definedName>
    <definedName name="no">'EGR2 2--copiar en word 1 EGR'!#REF!</definedName>
    <definedName name="tratamientos" localSheetId="8">'EGR 1-copiar en word 0 EGR'!#REF!</definedName>
    <definedName name="tratamientos">'EGR2 2--copiar en word 1 EGR'!#REF!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27" i="27" l="1"/>
  <c r="N27" i="27"/>
  <c r="J28" i="27"/>
  <c r="B11" i="28"/>
  <c r="B12" i="28"/>
  <c r="J41" i="27"/>
  <c r="O39" i="27"/>
  <c r="O38" i="27"/>
  <c r="D17" i="21"/>
  <c r="G17" i="21" s="1"/>
  <c r="D40" i="21"/>
  <c r="G40" i="21" s="1"/>
  <c r="D41" i="21"/>
  <c r="J40" i="21"/>
  <c r="I40" i="21"/>
  <c r="H40" i="21"/>
  <c r="C40" i="21"/>
  <c r="B40" i="21"/>
  <c r="B29" i="28"/>
  <c r="B30" i="28"/>
  <c r="K8" i="21"/>
  <c r="B15" i="28"/>
  <c r="E31" i="21"/>
  <c r="E8" i="21"/>
  <c r="D10" i="28"/>
  <c r="C10" i="28"/>
  <c r="O40" i="27" l="1"/>
  <c r="O41" i="27" s="1"/>
  <c r="F40" i="21"/>
  <c r="F17" i="21"/>
  <c r="B28" i="28" l="1"/>
  <c r="C18" i="28"/>
  <c r="B18" i="28"/>
  <c r="B17" i="28"/>
  <c r="D8" i="21" s="1"/>
  <c r="F8" i="21" s="1"/>
  <c r="C31" i="21"/>
  <c r="B31" i="21"/>
  <c r="J8" i="21"/>
  <c r="J31" i="21" s="1"/>
  <c r="I8" i="21"/>
  <c r="I31" i="21" s="1"/>
  <c r="H8" i="21"/>
  <c r="H31" i="21" s="1"/>
  <c r="C29" i="21"/>
  <c r="B29" i="21"/>
  <c r="J6" i="21"/>
  <c r="J29" i="21" s="1"/>
  <c r="D21" i="21" l="1"/>
  <c r="D31" i="21"/>
  <c r="F31" i="21" s="1"/>
  <c r="G8" i="21"/>
  <c r="G31" i="21" l="1"/>
  <c r="K42" i="27"/>
  <c r="B7" i="28"/>
  <c r="B6" i="28"/>
  <c r="D51" i="21" s="1"/>
  <c r="C7" i="28"/>
  <c r="B5" i="28"/>
  <c r="D18" i="28"/>
  <c r="D7" i="28"/>
  <c r="D9" i="28" s="1"/>
  <c r="L41" i="27"/>
  <c r="L42" i="27" s="1"/>
  <c r="B9" i="28" l="1"/>
  <c r="B13" i="28" s="1"/>
  <c r="B10" i="28"/>
  <c r="J42" i="27"/>
  <c r="C6" i="28"/>
  <c r="C9" i="28" s="1"/>
  <c r="D11" i="28"/>
  <c r="F8" i="28"/>
  <c r="F16" i="28"/>
  <c r="D30" i="26"/>
  <c r="F10" i="28" l="1"/>
  <c r="D6" i="21"/>
  <c r="D13" i="28"/>
  <c r="I6" i="21" s="1"/>
  <c r="I29" i="21" s="1"/>
  <c r="D12" i="28"/>
  <c r="C11" i="28"/>
  <c r="C14" i="28"/>
  <c r="C15" i="28" s="1"/>
  <c r="C17" i="28" s="1"/>
  <c r="D15" i="28"/>
  <c r="D17" i="28" s="1"/>
  <c r="D20" i="28"/>
  <c r="C91" i="23"/>
  <c r="F17" i="28" l="1"/>
  <c r="C13" i="28"/>
  <c r="H6" i="21" s="1"/>
  <c r="H29" i="21" s="1"/>
  <c r="C12" i="28"/>
  <c r="F12" i="28" s="1"/>
  <c r="D5" i="21"/>
  <c r="H3" i="21"/>
  <c r="F7" i="28"/>
  <c r="C175" i="21"/>
  <c r="H9" i="21"/>
  <c r="I3" i="21"/>
  <c r="J3" i="21"/>
  <c r="I1" i="21"/>
  <c r="J1" i="21"/>
  <c r="H1" i="21"/>
  <c r="D4" i="28"/>
  <c r="C4" i="28"/>
  <c r="I48" i="27"/>
  <c r="J48" i="27"/>
  <c r="H48" i="27"/>
  <c r="G6" i="21" l="1"/>
  <c r="D29" i="21"/>
  <c r="F6" i="21"/>
  <c r="F6" i="28"/>
  <c r="J5" i="21"/>
  <c r="J28" i="21" s="1"/>
  <c r="J43" i="21"/>
  <c r="E66" i="21"/>
  <c r="E60" i="31" s="1"/>
  <c r="E135" i="32"/>
  <c r="E134" i="32"/>
  <c r="E133" i="32"/>
  <c r="E128" i="32"/>
  <c r="E127" i="32"/>
  <c r="E119" i="32"/>
  <c r="E113" i="32"/>
  <c r="E109" i="32"/>
  <c r="E105" i="32"/>
  <c r="E101" i="32"/>
  <c r="E99" i="32"/>
  <c r="E96" i="32"/>
  <c r="E95" i="32"/>
  <c r="E90" i="32"/>
  <c r="E89" i="32"/>
  <c r="E87" i="32"/>
  <c r="E85" i="32"/>
  <c r="E82" i="32"/>
  <c r="E81" i="32"/>
  <c r="E75" i="32"/>
  <c r="E71" i="32"/>
  <c r="E67" i="32"/>
  <c r="E66" i="32"/>
  <c r="E65" i="32"/>
  <c r="E64" i="32"/>
  <c r="E63" i="32"/>
  <c r="E61" i="32"/>
  <c r="E58" i="32"/>
  <c r="E57" i="32"/>
  <c r="E50" i="32"/>
  <c r="E49" i="32"/>
  <c r="E48" i="32"/>
  <c r="E47" i="32"/>
  <c r="E46" i="32"/>
  <c r="E45" i="32"/>
  <c r="E40" i="32"/>
  <c r="E39" i="32"/>
  <c r="E38" i="32"/>
  <c r="E37" i="32"/>
  <c r="E36" i="32"/>
  <c r="E35" i="32"/>
  <c r="E34" i="32"/>
  <c r="E33" i="32"/>
  <c r="E32" i="32"/>
  <c r="E31" i="32"/>
  <c r="E30" i="32"/>
  <c r="E29" i="32"/>
  <c r="E28" i="32"/>
  <c r="E27" i="32"/>
  <c r="E26" i="32"/>
  <c r="E25" i="32"/>
  <c r="E6" i="32"/>
  <c r="E7" i="32"/>
  <c r="E8" i="32"/>
  <c r="E9" i="32"/>
  <c r="E10" i="32"/>
  <c r="E11" i="32"/>
  <c r="E12" i="32"/>
  <c r="E13" i="32"/>
  <c r="E14" i="32"/>
  <c r="E15" i="32"/>
  <c r="E16" i="32"/>
  <c r="E17" i="32"/>
  <c r="E18" i="32"/>
  <c r="E19" i="32"/>
  <c r="E20" i="32"/>
  <c r="E5" i="32"/>
  <c r="E135" i="31"/>
  <c r="E134" i="31"/>
  <c r="E133" i="31"/>
  <c r="E128" i="31"/>
  <c r="E127" i="31"/>
  <c r="E119" i="31"/>
  <c r="E113" i="31"/>
  <c r="E109" i="31"/>
  <c r="E105" i="31"/>
  <c r="E101" i="31"/>
  <c r="E99" i="31"/>
  <c r="E96" i="31"/>
  <c r="E95" i="31"/>
  <c r="E90" i="31"/>
  <c r="E89" i="31"/>
  <c r="E87" i="31"/>
  <c r="E85" i="31"/>
  <c r="E82" i="31"/>
  <c r="E81" i="31"/>
  <c r="E75" i="31"/>
  <c r="E71" i="31"/>
  <c r="E67" i="31"/>
  <c r="E66" i="31"/>
  <c r="E65" i="31"/>
  <c r="E64" i="31"/>
  <c r="E63" i="31"/>
  <c r="E61" i="31"/>
  <c r="E58" i="31"/>
  <c r="E57" i="31"/>
  <c r="E50" i="31"/>
  <c r="E49" i="31"/>
  <c r="E48" i="31"/>
  <c r="E47" i="31"/>
  <c r="E46" i="31"/>
  <c r="E45" i="31"/>
  <c r="E40" i="31"/>
  <c r="E39" i="31"/>
  <c r="E38" i="31"/>
  <c r="E37" i="31"/>
  <c r="E36" i="31"/>
  <c r="E35" i="31"/>
  <c r="E34" i="31"/>
  <c r="E33" i="31"/>
  <c r="E32" i="31"/>
  <c r="E31" i="31"/>
  <c r="E30" i="31"/>
  <c r="E29" i="31"/>
  <c r="E28" i="31"/>
  <c r="E27" i="31"/>
  <c r="E26" i="31"/>
  <c r="E25" i="31"/>
  <c r="E6" i="31"/>
  <c r="E7" i="31"/>
  <c r="E8" i="31"/>
  <c r="E9" i="31"/>
  <c r="E10" i="31"/>
  <c r="E11" i="31"/>
  <c r="E12" i="31"/>
  <c r="E13" i="31"/>
  <c r="E14" i="31"/>
  <c r="E15" i="31"/>
  <c r="E16" i="31"/>
  <c r="E17" i="31"/>
  <c r="E18" i="31"/>
  <c r="E19" i="31"/>
  <c r="E20" i="31"/>
  <c r="E5" i="31"/>
  <c r="E135" i="33"/>
  <c r="E134" i="33"/>
  <c r="E133" i="33"/>
  <c r="E128" i="33"/>
  <c r="E127" i="33"/>
  <c r="E119" i="33"/>
  <c r="E113" i="33"/>
  <c r="E109" i="33"/>
  <c r="E105" i="33"/>
  <c r="E101" i="33"/>
  <c r="E99" i="33"/>
  <c r="E96" i="33"/>
  <c r="E95" i="33"/>
  <c r="E90" i="33"/>
  <c r="E89" i="33"/>
  <c r="E87" i="33"/>
  <c r="E85" i="33"/>
  <c r="E82" i="33"/>
  <c r="E81" i="33"/>
  <c r="E75" i="33"/>
  <c r="E71" i="33"/>
  <c r="E67" i="33"/>
  <c r="E66" i="33"/>
  <c r="E65" i="33"/>
  <c r="E64" i="33"/>
  <c r="E63" i="33"/>
  <c r="E61" i="33"/>
  <c r="E58" i="33"/>
  <c r="E57" i="33"/>
  <c r="E50" i="33"/>
  <c r="E49" i="33"/>
  <c r="E48" i="33"/>
  <c r="E47" i="33"/>
  <c r="E46" i="33"/>
  <c r="E45" i="33"/>
  <c r="E40" i="33"/>
  <c r="E39" i="33"/>
  <c r="E38" i="33"/>
  <c r="E37" i="33"/>
  <c r="E36" i="33"/>
  <c r="E35" i="33"/>
  <c r="E34" i="33"/>
  <c r="E33" i="33"/>
  <c r="E32" i="33"/>
  <c r="E31" i="33"/>
  <c r="E30" i="33"/>
  <c r="E29" i="33"/>
  <c r="E28" i="33"/>
  <c r="E27" i="33"/>
  <c r="E26" i="33"/>
  <c r="E25" i="33"/>
  <c r="E6" i="33"/>
  <c r="E7" i="33"/>
  <c r="E8" i="33"/>
  <c r="E9" i="33"/>
  <c r="E10" i="33"/>
  <c r="E11" i="33"/>
  <c r="E12" i="33"/>
  <c r="E13" i="33"/>
  <c r="E14" i="33"/>
  <c r="E15" i="33"/>
  <c r="E16" i="33"/>
  <c r="E17" i="33"/>
  <c r="E18" i="33"/>
  <c r="E19" i="33"/>
  <c r="E20" i="33"/>
  <c r="E5" i="33"/>
  <c r="J161" i="21"/>
  <c r="D59" i="32"/>
  <c r="D97" i="32" s="1"/>
  <c r="D60" i="32"/>
  <c r="D62" i="32"/>
  <c r="D100" i="32" s="1"/>
  <c r="D64" i="32"/>
  <c r="D65" i="32"/>
  <c r="D66" i="32"/>
  <c r="D68" i="32"/>
  <c r="D106" i="32" s="1"/>
  <c r="D69" i="32"/>
  <c r="D107" i="32" s="1"/>
  <c r="D70" i="32"/>
  <c r="D108" i="32" s="1"/>
  <c r="D72" i="32"/>
  <c r="D73" i="32"/>
  <c r="D74" i="32"/>
  <c r="D112" i="32" s="1"/>
  <c r="D76" i="32"/>
  <c r="D114" i="32" s="1"/>
  <c r="D77" i="32"/>
  <c r="D115" i="32" s="1"/>
  <c r="D79" i="32"/>
  <c r="D117" i="32" s="1"/>
  <c r="D80" i="32"/>
  <c r="D83" i="32"/>
  <c r="D84" i="32"/>
  <c r="D86" i="32"/>
  <c r="D88" i="32"/>
  <c r="D46" i="32"/>
  <c r="D48" i="32"/>
  <c r="F48" i="32" s="1"/>
  <c r="D50" i="32"/>
  <c r="D6" i="32"/>
  <c r="D8" i="32"/>
  <c r="D28" i="32" s="1"/>
  <c r="D9" i="32"/>
  <c r="D29" i="32" s="1"/>
  <c r="D11" i="32"/>
  <c r="F11" i="32" s="1"/>
  <c r="D13" i="32"/>
  <c r="D33" i="32" s="1"/>
  <c r="D15" i="32"/>
  <c r="D35" i="32" s="1"/>
  <c r="D16" i="32"/>
  <c r="D36" i="32" s="1"/>
  <c r="D18" i="32"/>
  <c r="D20" i="32"/>
  <c r="D40" i="32" s="1"/>
  <c r="I161" i="21"/>
  <c r="D59" i="31"/>
  <c r="D97" i="31" s="1"/>
  <c r="D60" i="31"/>
  <c r="D98" i="31" s="1"/>
  <c r="D62" i="31"/>
  <c r="D100" i="31" s="1"/>
  <c r="D64" i="31"/>
  <c r="D65" i="31"/>
  <c r="D103" i="31" s="1"/>
  <c r="D66" i="31"/>
  <c r="D104" i="31" s="1"/>
  <c r="D68" i="31"/>
  <c r="D106" i="31" s="1"/>
  <c r="D69" i="31"/>
  <c r="D107" i="31" s="1"/>
  <c r="D70" i="31"/>
  <c r="D108" i="31" s="1"/>
  <c r="D72" i="31"/>
  <c r="D110" i="31" s="1"/>
  <c r="D73" i="31"/>
  <c r="D74" i="31"/>
  <c r="D76" i="31"/>
  <c r="D77" i="31"/>
  <c r="D115" i="31" s="1"/>
  <c r="D79" i="31"/>
  <c r="D80" i="31"/>
  <c r="D83" i="31"/>
  <c r="D121" i="31" s="1"/>
  <c r="D84" i="31"/>
  <c r="D122" i="31" s="1"/>
  <c r="D86" i="31"/>
  <c r="D124" i="31" s="1"/>
  <c r="D88" i="31"/>
  <c r="D126" i="31" s="1"/>
  <c r="D46" i="31"/>
  <c r="D48" i="31"/>
  <c r="D50" i="31"/>
  <c r="D6" i="31"/>
  <c r="D8" i="31"/>
  <c r="D9" i="31"/>
  <c r="D11" i="31"/>
  <c r="D31" i="31" s="1"/>
  <c r="D13" i="31"/>
  <c r="D33" i="31" s="1"/>
  <c r="D15" i="31"/>
  <c r="D16" i="31"/>
  <c r="D36" i="31" s="1"/>
  <c r="D18" i="31"/>
  <c r="D20" i="31"/>
  <c r="D40" i="31" s="1"/>
  <c r="H161" i="21"/>
  <c r="D59" i="33"/>
  <c r="D97" i="33" s="1"/>
  <c r="D60" i="33"/>
  <c r="D62" i="33"/>
  <c r="D100" i="33" s="1"/>
  <c r="D64" i="33"/>
  <c r="D65" i="33"/>
  <c r="D66" i="33"/>
  <c r="D68" i="33"/>
  <c r="D106" i="33" s="1"/>
  <c r="D69" i="33"/>
  <c r="D107" i="33" s="1"/>
  <c r="D70" i="33"/>
  <c r="D108" i="33" s="1"/>
  <c r="D72" i="33"/>
  <c r="D73" i="33"/>
  <c r="D74" i="33"/>
  <c r="D112" i="33" s="1"/>
  <c r="D76" i="33"/>
  <c r="D114" i="33" s="1"/>
  <c r="D77" i="33"/>
  <c r="D115" i="33" s="1"/>
  <c r="D79" i="33"/>
  <c r="D80" i="33"/>
  <c r="D83" i="33"/>
  <c r="D121" i="33" s="1"/>
  <c r="D84" i="33"/>
  <c r="D122" i="33" s="1"/>
  <c r="D86" i="33"/>
  <c r="D124" i="33" s="1"/>
  <c r="D88" i="33"/>
  <c r="D126" i="33" s="1"/>
  <c r="D46" i="33"/>
  <c r="D48" i="33"/>
  <c r="D50" i="33"/>
  <c r="D6" i="33"/>
  <c r="F6" i="33" s="1"/>
  <c r="D8" i="33"/>
  <c r="D28" i="33" s="1"/>
  <c r="D9" i="33"/>
  <c r="D29" i="33" s="1"/>
  <c r="D11" i="33"/>
  <c r="D31" i="33" s="1"/>
  <c r="D13" i="33"/>
  <c r="D33" i="33" s="1"/>
  <c r="D15" i="33"/>
  <c r="D35" i="33" s="1"/>
  <c r="D16" i="33"/>
  <c r="D36" i="33" s="1"/>
  <c r="D18" i="33"/>
  <c r="D38" i="33" s="1"/>
  <c r="D20" i="33"/>
  <c r="D40" i="33" s="1"/>
  <c r="F21" i="21"/>
  <c r="B163" i="33"/>
  <c r="B162" i="33"/>
  <c r="B161" i="33"/>
  <c r="B160" i="33"/>
  <c r="B159" i="33"/>
  <c r="B158" i="33"/>
  <c r="B157" i="33"/>
  <c r="B156" i="33"/>
  <c r="B155" i="33"/>
  <c r="B154" i="33"/>
  <c r="B153" i="33"/>
  <c r="B152" i="33"/>
  <c r="B151" i="33"/>
  <c r="B150" i="33"/>
  <c r="C128" i="33"/>
  <c r="B128" i="33"/>
  <c r="C127" i="33"/>
  <c r="B127" i="33"/>
  <c r="C126" i="33"/>
  <c r="B126" i="33"/>
  <c r="C125" i="33"/>
  <c r="B125" i="33"/>
  <c r="C124" i="33"/>
  <c r="B124" i="33"/>
  <c r="C123" i="33"/>
  <c r="B123" i="33"/>
  <c r="C122" i="33"/>
  <c r="B122" i="33"/>
  <c r="C121" i="33"/>
  <c r="B121" i="33"/>
  <c r="C120" i="33"/>
  <c r="B120" i="33"/>
  <c r="C119" i="33"/>
  <c r="B119" i="33"/>
  <c r="C118" i="33"/>
  <c r="B118" i="33"/>
  <c r="C117" i="33"/>
  <c r="B117" i="33"/>
  <c r="C116" i="33"/>
  <c r="B116" i="33"/>
  <c r="C115" i="33"/>
  <c r="B115" i="33"/>
  <c r="C114" i="33"/>
  <c r="B114" i="33"/>
  <c r="C113" i="33"/>
  <c r="B113" i="33"/>
  <c r="C112" i="33"/>
  <c r="B112" i="33"/>
  <c r="C111" i="33"/>
  <c r="B111" i="33"/>
  <c r="C110" i="33"/>
  <c r="B110" i="33"/>
  <c r="C109" i="33"/>
  <c r="B109" i="33"/>
  <c r="C108" i="33"/>
  <c r="B108" i="33"/>
  <c r="C107" i="33"/>
  <c r="B107" i="33"/>
  <c r="C106" i="33"/>
  <c r="B106" i="33"/>
  <c r="C105" i="33"/>
  <c r="B105" i="33"/>
  <c r="C104" i="33"/>
  <c r="B104" i="33"/>
  <c r="C103" i="33"/>
  <c r="B103" i="33"/>
  <c r="C102" i="33"/>
  <c r="B102" i="33"/>
  <c r="C101" i="33"/>
  <c r="B101" i="33"/>
  <c r="C100" i="33"/>
  <c r="B100" i="33"/>
  <c r="C99" i="33"/>
  <c r="B99" i="33"/>
  <c r="C98" i="33"/>
  <c r="B98" i="33"/>
  <c r="C97" i="33"/>
  <c r="B97" i="33"/>
  <c r="C96" i="33"/>
  <c r="B96" i="33"/>
  <c r="B95" i="33"/>
  <c r="B50" i="33"/>
  <c r="B49" i="33"/>
  <c r="C40" i="33"/>
  <c r="B40" i="33"/>
  <c r="C39" i="33"/>
  <c r="B39" i="33"/>
  <c r="C38" i="33"/>
  <c r="B38" i="33"/>
  <c r="C37" i="33"/>
  <c r="B37" i="33"/>
  <c r="C36" i="33"/>
  <c r="B36" i="33"/>
  <c r="C35" i="33"/>
  <c r="B35" i="33"/>
  <c r="C34" i="33"/>
  <c r="B34" i="33"/>
  <c r="C33" i="33"/>
  <c r="B33" i="33"/>
  <c r="C32" i="33"/>
  <c r="B32" i="33"/>
  <c r="C31" i="33"/>
  <c r="B31" i="33"/>
  <c r="C30" i="33"/>
  <c r="B30" i="33"/>
  <c r="C29" i="33"/>
  <c r="B29" i="33"/>
  <c r="C28" i="33"/>
  <c r="B28" i="33"/>
  <c r="C27" i="33"/>
  <c r="B27" i="33"/>
  <c r="C26" i="33"/>
  <c r="B26" i="33"/>
  <c r="C25" i="33"/>
  <c r="B25" i="33"/>
  <c r="B163" i="32"/>
  <c r="B162" i="32"/>
  <c r="B161" i="32"/>
  <c r="B160" i="32"/>
  <c r="B159" i="32"/>
  <c r="B158" i="32"/>
  <c r="B157" i="32"/>
  <c r="B156" i="32"/>
  <c r="B155" i="32"/>
  <c r="B154" i="32"/>
  <c r="B153" i="32"/>
  <c r="B152" i="32"/>
  <c r="B151" i="32"/>
  <c r="B150" i="32"/>
  <c r="C128" i="32"/>
  <c r="B128" i="32"/>
  <c r="C127" i="32"/>
  <c r="B127" i="32"/>
  <c r="C126" i="32"/>
  <c r="B126" i="32"/>
  <c r="C125" i="32"/>
  <c r="B125" i="32"/>
  <c r="C124" i="32"/>
  <c r="B124" i="32"/>
  <c r="C123" i="32"/>
  <c r="B123" i="32"/>
  <c r="C122" i="32"/>
  <c r="B122" i="32"/>
  <c r="C121" i="32"/>
  <c r="B121" i="32"/>
  <c r="C120" i="32"/>
  <c r="B120" i="32"/>
  <c r="C119" i="32"/>
  <c r="B119" i="32"/>
  <c r="C118" i="32"/>
  <c r="B118" i="32"/>
  <c r="C117" i="32"/>
  <c r="B117" i="32"/>
  <c r="C116" i="32"/>
  <c r="B116" i="32"/>
  <c r="C115" i="32"/>
  <c r="B115" i="32"/>
  <c r="C114" i="32"/>
  <c r="B114" i="32"/>
  <c r="C113" i="32"/>
  <c r="B113" i="32"/>
  <c r="C112" i="32"/>
  <c r="B112" i="32"/>
  <c r="C111" i="32"/>
  <c r="B111" i="32"/>
  <c r="C110" i="32"/>
  <c r="B110" i="32"/>
  <c r="C109" i="32"/>
  <c r="B109" i="32"/>
  <c r="C108" i="32"/>
  <c r="B108" i="32"/>
  <c r="C107" i="32"/>
  <c r="B107" i="32"/>
  <c r="C106" i="32"/>
  <c r="B106" i="32"/>
  <c r="C105" i="32"/>
  <c r="B105" i="32"/>
  <c r="C104" i="32"/>
  <c r="B104" i="32"/>
  <c r="C103" i="32"/>
  <c r="B103" i="32"/>
  <c r="C102" i="32"/>
  <c r="B102" i="32"/>
  <c r="C101" i="32"/>
  <c r="B101" i="32"/>
  <c r="C100" i="32"/>
  <c r="B100" i="32"/>
  <c r="C99" i="32"/>
  <c r="B99" i="32"/>
  <c r="C98" i="32"/>
  <c r="B98" i="32"/>
  <c r="C97" i="32"/>
  <c r="B97" i="32"/>
  <c r="C96" i="32"/>
  <c r="B96" i="32"/>
  <c r="B95" i="32"/>
  <c r="D98" i="32"/>
  <c r="B50" i="32"/>
  <c r="B49" i="32"/>
  <c r="C40" i="32"/>
  <c r="B40" i="32"/>
  <c r="C39" i="32"/>
  <c r="B39" i="32"/>
  <c r="C38" i="32"/>
  <c r="B38" i="32"/>
  <c r="C37" i="32"/>
  <c r="B37" i="32"/>
  <c r="C36" i="32"/>
  <c r="B36" i="32"/>
  <c r="C35" i="32"/>
  <c r="B35" i="32"/>
  <c r="C34" i="32"/>
  <c r="B34" i="32"/>
  <c r="C33" i="32"/>
  <c r="B33" i="32"/>
  <c r="C32" i="32"/>
  <c r="B32" i="32"/>
  <c r="C31" i="32"/>
  <c r="B31" i="32"/>
  <c r="C30" i="32"/>
  <c r="B30" i="32"/>
  <c r="C29" i="32"/>
  <c r="B29" i="32"/>
  <c r="C28" i="32"/>
  <c r="B28" i="32"/>
  <c r="C27" i="32"/>
  <c r="B27" i="32"/>
  <c r="C26" i="32"/>
  <c r="B26" i="32"/>
  <c r="C25" i="32"/>
  <c r="B25" i="32"/>
  <c r="B163" i="31"/>
  <c r="B162" i="31"/>
  <c r="B161" i="31"/>
  <c r="B160" i="31"/>
  <c r="B159" i="31"/>
  <c r="B158" i="31"/>
  <c r="B157" i="31"/>
  <c r="B156" i="31"/>
  <c r="B155" i="31"/>
  <c r="B154" i="31"/>
  <c r="B153" i="31"/>
  <c r="B152" i="31"/>
  <c r="B151" i="31"/>
  <c r="B150" i="31"/>
  <c r="C128" i="31"/>
  <c r="B128" i="31"/>
  <c r="C127" i="31"/>
  <c r="B127" i="31"/>
  <c r="C126" i="31"/>
  <c r="B126" i="31"/>
  <c r="C125" i="31"/>
  <c r="B125" i="31"/>
  <c r="C124" i="31"/>
  <c r="B124" i="31"/>
  <c r="C123" i="31"/>
  <c r="B123" i="31"/>
  <c r="C122" i="31"/>
  <c r="B122" i="31"/>
  <c r="C121" i="31"/>
  <c r="B121" i="31"/>
  <c r="C120" i="31"/>
  <c r="B120" i="31"/>
  <c r="C119" i="31"/>
  <c r="B119" i="31"/>
  <c r="C118" i="31"/>
  <c r="B118" i="31"/>
  <c r="C117" i="31"/>
  <c r="B117" i="31"/>
  <c r="C116" i="31"/>
  <c r="B116" i="31"/>
  <c r="C115" i="31"/>
  <c r="B115" i="31"/>
  <c r="C114" i="31"/>
  <c r="B114" i="31"/>
  <c r="C113" i="31"/>
  <c r="B113" i="31"/>
  <c r="C112" i="31"/>
  <c r="B112" i="31"/>
  <c r="C111" i="31"/>
  <c r="B111" i="31"/>
  <c r="C110" i="31"/>
  <c r="B110" i="31"/>
  <c r="C109" i="31"/>
  <c r="B109" i="31"/>
  <c r="C108" i="31"/>
  <c r="B108" i="31"/>
  <c r="C107" i="31"/>
  <c r="B107" i="31"/>
  <c r="C106" i="31"/>
  <c r="B106" i="31"/>
  <c r="C105" i="31"/>
  <c r="B105" i="31"/>
  <c r="C104" i="31"/>
  <c r="B104" i="31"/>
  <c r="C103" i="31"/>
  <c r="B103" i="31"/>
  <c r="C102" i="31"/>
  <c r="B102" i="31"/>
  <c r="C101" i="31"/>
  <c r="B101" i="31"/>
  <c r="C100" i="31"/>
  <c r="B100" i="31"/>
  <c r="C99" i="31"/>
  <c r="B99" i="31"/>
  <c r="C98" i="31"/>
  <c r="B98" i="31"/>
  <c r="C97" i="31"/>
  <c r="B97" i="31"/>
  <c r="C96" i="31"/>
  <c r="B96" i="31"/>
  <c r="B95" i="31"/>
  <c r="F66" i="31"/>
  <c r="B50" i="31"/>
  <c r="B49" i="31"/>
  <c r="C40" i="31"/>
  <c r="B40" i="31"/>
  <c r="C39" i="31"/>
  <c r="B39" i="31"/>
  <c r="C38" i="31"/>
  <c r="B38" i="31"/>
  <c r="C37" i="31"/>
  <c r="B37" i="31"/>
  <c r="C36" i="31"/>
  <c r="B36" i="31"/>
  <c r="C35" i="31"/>
  <c r="B35" i="31"/>
  <c r="C34" i="31"/>
  <c r="B34" i="31"/>
  <c r="C33" i="31"/>
  <c r="B33" i="31"/>
  <c r="C32" i="31"/>
  <c r="B32" i="31"/>
  <c r="C31" i="31"/>
  <c r="B31" i="31"/>
  <c r="C30" i="31"/>
  <c r="B30" i="31"/>
  <c r="C29" i="31"/>
  <c r="B29" i="31"/>
  <c r="C28" i="31"/>
  <c r="B28" i="31"/>
  <c r="C27" i="31"/>
  <c r="B27" i="31"/>
  <c r="C26" i="31"/>
  <c r="B26" i="31"/>
  <c r="C25" i="31"/>
  <c r="B25" i="31"/>
  <c r="D35" i="31"/>
  <c r="D28" i="31"/>
  <c r="D134" i="32"/>
  <c r="D133" i="32"/>
  <c r="F133" i="32" s="1"/>
  <c r="D134" i="31"/>
  <c r="D133" i="31"/>
  <c r="D134" i="33"/>
  <c r="D133" i="33"/>
  <c r="F19" i="21"/>
  <c r="B134" i="21"/>
  <c r="B133" i="21"/>
  <c r="B129" i="21"/>
  <c r="B130" i="21"/>
  <c r="B131" i="21"/>
  <c r="B132" i="21"/>
  <c r="B127" i="21"/>
  <c r="B128" i="21"/>
  <c r="B108" i="21"/>
  <c r="B109" i="21"/>
  <c r="B110" i="21"/>
  <c r="B111" i="21"/>
  <c r="B112" i="21"/>
  <c r="B113" i="21"/>
  <c r="B114" i="21"/>
  <c r="B115" i="21"/>
  <c r="B116" i="21"/>
  <c r="B117" i="21"/>
  <c r="B118" i="21"/>
  <c r="B119" i="21"/>
  <c r="B120" i="21"/>
  <c r="B121" i="21"/>
  <c r="B122" i="21"/>
  <c r="B123" i="21"/>
  <c r="B124" i="21"/>
  <c r="B125" i="21"/>
  <c r="B126" i="21"/>
  <c r="B102" i="21"/>
  <c r="B103" i="21"/>
  <c r="B104" i="21"/>
  <c r="B105" i="21"/>
  <c r="B106" i="21"/>
  <c r="B107" i="21"/>
  <c r="B101" i="21"/>
  <c r="H103" i="21"/>
  <c r="I103" i="21"/>
  <c r="J103" i="21"/>
  <c r="H104" i="21"/>
  <c r="I104" i="21"/>
  <c r="J104" i="21"/>
  <c r="H106" i="21"/>
  <c r="I106" i="21"/>
  <c r="J106" i="21"/>
  <c r="H108" i="21"/>
  <c r="I108" i="21"/>
  <c r="J108" i="21"/>
  <c r="H109" i="21"/>
  <c r="I109" i="21"/>
  <c r="J109" i="21"/>
  <c r="H110" i="21"/>
  <c r="I110" i="21"/>
  <c r="J110" i="21"/>
  <c r="H112" i="21"/>
  <c r="I112" i="21"/>
  <c r="J112" i="21"/>
  <c r="H113" i="21"/>
  <c r="I113" i="21"/>
  <c r="J113" i="21"/>
  <c r="H114" i="21"/>
  <c r="I114" i="21"/>
  <c r="J114" i="21"/>
  <c r="H116" i="21"/>
  <c r="I116" i="21"/>
  <c r="J116" i="21"/>
  <c r="H117" i="21"/>
  <c r="I117" i="21"/>
  <c r="J117" i="21"/>
  <c r="H118" i="21"/>
  <c r="I118" i="21"/>
  <c r="J118" i="21"/>
  <c r="H120" i="21"/>
  <c r="I120" i="21"/>
  <c r="J120" i="21"/>
  <c r="H121" i="21"/>
  <c r="I121" i="21"/>
  <c r="J121" i="21"/>
  <c r="H123" i="21"/>
  <c r="I123" i="21"/>
  <c r="J123" i="21"/>
  <c r="H124" i="21"/>
  <c r="I124" i="21"/>
  <c r="J124" i="21"/>
  <c r="H127" i="21"/>
  <c r="I127" i="21"/>
  <c r="J127" i="21"/>
  <c r="H128" i="21"/>
  <c r="I128" i="21"/>
  <c r="J128" i="21"/>
  <c r="H130" i="21"/>
  <c r="I130" i="21"/>
  <c r="J130" i="21"/>
  <c r="H132" i="21"/>
  <c r="I132" i="21"/>
  <c r="J132" i="21"/>
  <c r="D90" i="31"/>
  <c r="D128" i="31" s="1"/>
  <c r="D90" i="32"/>
  <c r="D128" i="32" s="1"/>
  <c r="D90" i="33"/>
  <c r="U46" i="27"/>
  <c r="V46" i="27"/>
  <c r="W46" i="27"/>
  <c r="X46" i="27"/>
  <c r="Y46" i="27"/>
  <c r="Z46" i="27"/>
  <c r="AA46" i="27"/>
  <c r="I122" i="21"/>
  <c r="D78" i="32"/>
  <c r="D78" i="33"/>
  <c r="D116" i="33" s="1"/>
  <c r="AB49" i="27"/>
  <c r="D81" i="31"/>
  <c r="F81" i="31" s="1"/>
  <c r="D81" i="32"/>
  <c r="F81" i="32" s="1"/>
  <c r="H125" i="21"/>
  <c r="D15" i="21"/>
  <c r="F15" i="21" s="1"/>
  <c r="S46" i="27"/>
  <c r="T46" i="27"/>
  <c r="R46" i="27"/>
  <c r="D82" i="33" s="1"/>
  <c r="I53" i="21"/>
  <c r="J53" i="21"/>
  <c r="H53" i="21"/>
  <c r="D47" i="33" s="1"/>
  <c r="H30" i="21"/>
  <c r="I30" i="21"/>
  <c r="J30" i="21"/>
  <c r="H33" i="21"/>
  <c r="I33" i="21"/>
  <c r="J33" i="21"/>
  <c r="H34" i="21"/>
  <c r="I34" i="21"/>
  <c r="J34" i="21"/>
  <c r="H36" i="21"/>
  <c r="I36" i="21"/>
  <c r="J36" i="21"/>
  <c r="H38" i="21"/>
  <c r="I38" i="21"/>
  <c r="J38" i="21"/>
  <c r="H41" i="21"/>
  <c r="I41" i="21"/>
  <c r="J41" i="21"/>
  <c r="H42" i="21"/>
  <c r="I42" i="21"/>
  <c r="J42" i="21"/>
  <c r="H44" i="21"/>
  <c r="I44" i="21"/>
  <c r="J44" i="21"/>
  <c r="H46" i="21"/>
  <c r="I46" i="21"/>
  <c r="J46" i="21"/>
  <c r="D56" i="21"/>
  <c r="F56" i="21" s="1"/>
  <c r="H32" i="21"/>
  <c r="F18" i="28"/>
  <c r="H16" i="21"/>
  <c r="H39" i="21" s="1"/>
  <c r="I16" i="21"/>
  <c r="I39" i="21" s="1"/>
  <c r="B30" i="21"/>
  <c r="C30" i="21"/>
  <c r="B32" i="21"/>
  <c r="C32" i="21"/>
  <c r="B33" i="21"/>
  <c r="C33" i="21"/>
  <c r="B34" i="21"/>
  <c r="C34" i="21"/>
  <c r="B35" i="21"/>
  <c r="C35" i="21"/>
  <c r="B36" i="21"/>
  <c r="C36" i="21"/>
  <c r="B37" i="21"/>
  <c r="C37" i="21"/>
  <c r="B38" i="21"/>
  <c r="C38" i="21"/>
  <c r="B39" i="21"/>
  <c r="C39" i="21"/>
  <c r="B41" i="21"/>
  <c r="C41" i="21"/>
  <c r="B42" i="21"/>
  <c r="C42" i="21"/>
  <c r="D42" i="21"/>
  <c r="B43" i="21"/>
  <c r="C43" i="21"/>
  <c r="B44" i="21"/>
  <c r="C44" i="21"/>
  <c r="B45" i="21"/>
  <c r="C45" i="21"/>
  <c r="B46" i="21"/>
  <c r="C46" i="21"/>
  <c r="C28" i="21"/>
  <c r="B28" i="21"/>
  <c r="G19" i="21"/>
  <c r="P51" i="27"/>
  <c r="P52" i="27"/>
  <c r="P53" i="27"/>
  <c r="P54" i="27"/>
  <c r="P55" i="27"/>
  <c r="P56" i="27"/>
  <c r="P57" i="27"/>
  <c r="P58" i="27"/>
  <c r="P59" i="27"/>
  <c r="P60" i="27"/>
  <c r="P61" i="27"/>
  <c r="P62" i="27"/>
  <c r="P63" i="27"/>
  <c r="P64" i="27"/>
  <c r="P65" i="27"/>
  <c r="P66" i="27"/>
  <c r="P67" i="27"/>
  <c r="P68" i="27"/>
  <c r="P69" i="27"/>
  <c r="P70" i="27"/>
  <c r="P71" i="27"/>
  <c r="P72" i="27"/>
  <c r="P73" i="27"/>
  <c r="P74" i="27"/>
  <c r="P75" i="27"/>
  <c r="P76" i="27"/>
  <c r="P77" i="27"/>
  <c r="P78" i="27"/>
  <c r="P79" i="27"/>
  <c r="P80" i="27"/>
  <c r="P81" i="27"/>
  <c r="P82" i="27"/>
  <c r="D68" i="21"/>
  <c r="D106" i="21" s="1"/>
  <c r="D141" i="21"/>
  <c r="F141" i="21" s="1"/>
  <c r="E129" i="21"/>
  <c r="E123" i="31" s="1"/>
  <c r="E131" i="21"/>
  <c r="E125" i="33" s="1"/>
  <c r="E126" i="21"/>
  <c r="E120" i="32" s="1"/>
  <c r="E94" i="21"/>
  <c r="E132" i="21" s="1"/>
  <c r="E126" i="33" s="1"/>
  <c r="E122" i="21"/>
  <c r="E123" i="21" s="1"/>
  <c r="E124" i="21" s="1"/>
  <c r="E118" i="31" s="1"/>
  <c r="E84" i="21"/>
  <c r="E85" i="21" s="1"/>
  <c r="E86" i="21" s="1"/>
  <c r="E80" i="33" s="1"/>
  <c r="E82" i="21"/>
  <c r="E83" i="21" s="1"/>
  <c r="E77" i="31" s="1"/>
  <c r="E120" i="21"/>
  <c r="E121" i="21" s="1"/>
  <c r="E115" i="33" s="1"/>
  <c r="E78" i="21"/>
  <c r="E79" i="21" s="1"/>
  <c r="E80" i="21" s="1"/>
  <c r="E74" i="33" s="1"/>
  <c r="E116" i="21"/>
  <c r="E117" i="21" s="1"/>
  <c r="E118" i="21" s="1"/>
  <c r="E112" i="32" s="1"/>
  <c r="E108" i="21"/>
  <c r="E109" i="21" s="1"/>
  <c r="E110" i="21" s="1"/>
  <c r="E104" i="31" s="1"/>
  <c r="E112" i="21"/>
  <c r="E113" i="21" s="1"/>
  <c r="E114" i="21" s="1"/>
  <c r="E108" i="32" s="1"/>
  <c r="E74" i="21"/>
  <c r="E75" i="21" s="1"/>
  <c r="E76" i="21" s="1"/>
  <c r="E70" i="31" s="1"/>
  <c r="E89" i="21"/>
  <c r="E127" i="21" s="1"/>
  <c r="E121" i="32" s="1"/>
  <c r="E92" i="21"/>
  <c r="E130" i="21" s="1"/>
  <c r="E124" i="31" s="1"/>
  <c r="D96" i="21"/>
  <c r="F96" i="21" s="1"/>
  <c r="C133" i="21"/>
  <c r="C134" i="21"/>
  <c r="C129" i="21"/>
  <c r="C130" i="21"/>
  <c r="C126" i="21"/>
  <c r="C127" i="21"/>
  <c r="C128" i="21"/>
  <c r="C131" i="21"/>
  <c r="C132" i="21"/>
  <c r="E106" i="21"/>
  <c r="E100" i="31" s="1"/>
  <c r="E103" i="21"/>
  <c r="E104" i="21" s="1"/>
  <c r="E98" i="32" s="1"/>
  <c r="E68" i="21"/>
  <c r="E62" i="31" s="1"/>
  <c r="E65" i="21"/>
  <c r="C44" i="24"/>
  <c r="C92" i="23"/>
  <c r="C94" i="23" s="1"/>
  <c r="J27" i="28"/>
  <c r="B156" i="21"/>
  <c r="B157" i="21"/>
  <c r="B158" i="21"/>
  <c r="B159" i="21"/>
  <c r="B160" i="21"/>
  <c r="B161" i="21"/>
  <c r="B162" i="21"/>
  <c r="B163" i="21"/>
  <c r="B164" i="21"/>
  <c r="B165" i="21"/>
  <c r="B166" i="21"/>
  <c r="B167" i="21"/>
  <c r="B168" i="21"/>
  <c r="B169" i="21"/>
  <c r="H6" i="22"/>
  <c r="C28" i="23"/>
  <c r="C31" i="23" s="1"/>
  <c r="C32" i="23" s="1"/>
  <c r="D87" i="21"/>
  <c r="D125" i="21" s="1"/>
  <c r="F125" i="21" s="1"/>
  <c r="P50" i="27"/>
  <c r="D71" i="32"/>
  <c r="D109" i="32" s="1"/>
  <c r="D71" i="33"/>
  <c r="D109" i="33" s="1"/>
  <c r="J101" i="21"/>
  <c r="D57" i="33"/>
  <c r="D95" i="33" s="1"/>
  <c r="H7" i="27"/>
  <c r="H91" i="25"/>
  <c r="H90" i="25"/>
  <c r="H89" i="25"/>
  <c r="H87" i="25"/>
  <c r="H86" i="25"/>
  <c r="H85" i="25"/>
  <c r="H83" i="25"/>
  <c r="H82" i="25"/>
  <c r="H81" i="25"/>
  <c r="H80" i="25"/>
  <c r="H79" i="25"/>
  <c r="H77" i="25"/>
  <c r="H76" i="25"/>
  <c r="H74" i="25"/>
  <c r="H73" i="25"/>
  <c r="H72" i="25"/>
  <c r="H71" i="25"/>
  <c r="H70" i="25"/>
  <c r="H69" i="25"/>
  <c r="H68" i="25"/>
  <c r="H67" i="25"/>
  <c r="H66" i="25"/>
  <c r="H65" i="25"/>
  <c r="H64" i="25"/>
  <c r="H63" i="25"/>
  <c r="H62" i="25"/>
  <c r="H61" i="25"/>
  <c r="H48" i="25"/>
  <c r="H47" i="25"/>
  <c r="H46" i="25"/>
  <c r="H25" i="25"/>
  <c r="H24" i="25"/>
  <c r="H23" i="25"/>
  <c r="H21" i="25"/>
  <c r="H20" i="25"/>
  <c r="H7" i="25"/>
  <c r="H6" i="25"/>
  <c r="C43" i="24"/>
  <c r="C38" i="24"/>
  <c r="C31" i="24"/>
  <c r="C104" i="23"/>
  <c r="C103" i="23"/>
  <c r="C83" i="23"/>
  <c r="C82" i="23"/>
  <c r="C73" i="23"/>
  <c r="C74" i="23" s="1"/>
  <c r="C42" i="23"/>
  <c r="C43" i="23" s="1"/>
  <c r="C10" i="23"/>
  <c r="C12" i="23" s="1"/>
  <c r="C9" i="23"/>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F46" i="31" l="1"/>
  <c r="F36" i="31"/>
  <c r="E60" i="32"/>
  <c r="E60" i="33"/>
  <c r="F29" i="21"/>
  <c r="G29" i="21"/>
  <c r="F9" i="32"/>
  <c r="F50" i="32"/>
  <c r="F106" i="21"/>
  <c r="E100" i="33"/>
  <c r="F100" i="33" s="1"/>
  <c r="D47" i="32"/>
  <c r="F47" i="32" s="1"/>
  <c r="J51" i="21"/>
  <c r="D45" i="32" s="1"/>
  <c r="F45" i="32" s="1"/>
  <c r="D47" i="31"/>
  <c r="F47" i="31" s="1"/>
  <c r="I51" i="21"/>
  <c r="D45" i="31" s="1"/>
  <c r="F45" i="31" s="1"/>
  <c r="H51" i="21"/>
  <c r="D45" i="33" s="1"/>
  <c r="F45" i="33" s="1"/>
  <c r="C20" i="28"/>
  <c r="F5" i="28"/>
  <c r="H22" i="21"/>
  <c r="D19" i="33" s="1"/>
  <c r="D39" i="33" s="1"/>
  <c r="H45" i="21"/>
  <c r="I22" i="21"/>
  <c r="D19" i="31" s="1"/>
  <c r="D39" i="31" s="1"/>
  <c r="I45" i="21"/>
  <c r="F9" i="28"/>
  <c r="J55" i="21"/>
  <c r="D49" i="32" s="1"/>
  <c r="F49" i="32" s="1"/>
  <c r="J45" i="21"/>
  <c r="J22" i="21"/>
  <c r="D19" i="32" s="1"/>
  <c r="D39" i="32" s="1"/>
  <c r="J16" i="21"/>
  <c r="J39" i="21" s="1"/>
  <c r="F19" i="28"/>
  <c r="I5" i="21"/>
  <c r="F29" i="32"/>
  <c r="F65" i="33"/>
  <c r="F28" i="31"/>
  <c r="J9" i="21"/>
  <c r="J32" i="21" s="1"/>
  <c r="I9" i="21"/>
  <c r="I32" i="21" s="1"/>
  <c r="J12" i="21"/>
  <c r="J35" i="21" s="1"/>
  <c r="F9" i="33"/>
  <c r="F13" i="33"/>
  <c r="F15" i="33"/>
  <c r="F48" i="33"/>
  <c r="F64" i="32"/>
  <c r="D16" i="21"/>
  <c r="F16" i="21" s="1"/>
  <c r="D13" i="21"/>
  <c r="F13" i="21" s="1"/>
  <c r="D11" i="21"/>
  <c r="F11" i="21" s="1"/>
  <c r="D10" i="21"/>
  <c r="F10" i="21" s="1"/>
  <c r="D9" i="21"/>
  <c r="D7" i="21"/>
  <c r="F7" i="21" s="1"/>
  <c r="D23" i="21"/>
  <c r="F23" i="21" s="1"/>
  <c r="E116" i="33"/>
  <c r="F116" i="33" s="1"/>
  <c r="E106" i="31"/>
  <c r="E68" i="33"/>
  <c r="F68" i="33" s="1"/>
  <c r="E117" i="33"/>
  <c r="E107" i="31"/>
  <c r="E114" i="32"/>
  <c r="F114" i="32" s="1"/>
  <c r="F134" i="31"/>
  <c r="F16" i="32"/>
  <c r="F64" i="33"/>
  <c r="E69" i="33"/>
  <c r="F69" i="33" s="1"/>
  <c r="E102" i="33"/>
  <c r="E118" i="33"/>
  <c r="E86" i="31"/>
  <c r="F86" i="31" s="1"/>
  <c r="E108" i="31"/>
  <c r="E115" i="32"/>
  <c r="F115" i="32" s="1"/>
  <c r="E70" i="33"/>
  <c r="E103" i="33"/>
  <c r="E100" i="32"/>
  <c r="F100" i="32" s="1"/>
  <c r="E116" i="32"/>
  <c r="E104" i="33"/>
  <c r="E121" i="33"/>
  <c r="E110" i="31"/>
  <c r="F110" i="31" s="1"/>
  <c r="E68" i="32"/>
  <c r="F68" i="32" s="1"/>
  <c r="E117" i="32"/>
  <c r="E123" i="33"/>
  <c r="E111" i="31"/>
  <c r="E69" i="32"/>
  <c r="F69" i="32" s="1"/>
  <c r="E102" i="32"/>
  <c r="E118" i="32"/>
  <c r="E106" i="33"/>
  <c r="F106" i="33" s="1"/>
  <c r="E124" i="33"/>
  <c r="F124" i="33" s="1"/>
  <c r="E112" i="31"/>
  <c r="E70" i="32"/>
  <c r="F70" i="32" s="1"/>
  <c r="E103" i="32"/>
  <c r="F36" i="33"/>
  <c r="E107" i="33"/>
  <c r="F107" i="33" s="1"/>
  <c r="E104" i="32"/>
  <c r="E123" i="32"/>
  <c r="E108" i="33"/>
  <c r="F108" i="33" s="1"/>
  <c r="E97" i="31"/>
  <c r="F97" i="31" s="1"/>
  <c r="E114" i="31"/>
  <c r="E124" i="32"/>
  <c r="E86" i="33"/>
  <c r="F86" i="33" s="1"/>
  <c r="E115" i="31"/>
  <c r="F115" i="31" s="1"/>
  <c r="E106" i="32"/>
  <c r="F106" i="32" s="1"/>
  <c r="E110" i="33"/>
  <c r="E68" i="31"/>
  <c r="E116" i="31"/>
  <c r="E107" i="32"/>
  <c r="F107" i="32" s="1"/>
  <c r="E111" i="33"/>
  <c r="E69" i="31"/>
  <c r="F69" i="31" s="1"/>
  <c r="E117" i="31"/>
  <c r="F115" i="33"/>
  <c r="E112" i="33"/>
  <c r="F112" i="33" s="1"/>
  <c r="E102" i="31"/>
  <c r="E86" i="32"/>
  <c r="F86" i="32" s="1"/>
  <c r="E103" i="31"/>
  <c r="F103" i="31" s="1"/>
  <c r="E110" i="32"/>
  <c r="D31" i="32"/>
  <c r="F31" i="32" s="1"/>
  <c r="E114" i="33"/>
  <c r="F114" i="33" s="1"/>
  <c r="E111" i="32"/>
  <c r="D14" i="31"/>
  <c r="D34" i="31" s="1"/>
  <c r="F34" i="31" s="1"/>
  <c r="D14" i="33"/>
  <c r="D34" i="33" s="1"/>
  <c r="F34" i="33" s="1"/>
  <c r="D14" i="32"/>
  <c r="D34" i="32" s="1"/>
  <c r="F34" i="32" s="1"/>
  <c r="D7" i="33"/>
  <c r="D27" i="33" s="1"/>
  <c r="F27" i="33" s="1"/>
  <c r="D135" i="32"/>
  <c r="F135" i="32" s="1"/>
  <c r="J122" i="21"/>
  <c r="H122" i="21"/>
  <c r="I133" i="21"/>
  <c r="I134" i="21"/>
  <c r="H134" i="21"/>
  <c r="J125" i="21"/>
  <c r="F90" i="33"/>
  <c r="D128" i="33"/>
  <c r="F128" i="33" s="1"/>
  <c r="J134" i="21"/>
  <c r="D135" i="31"/>
  <c r="F135" i="31" s="1"/>
  <c r="D78" i="31"/>
  <c r="D116" i="31" s="1"/>
  <c r="H126" i="21"/>
  <c r="F87" i="21"/>
  <c r="D134" i="21"/>
  <c r="F134" i="21" s="1"/>
  <c r="D135" i="33"/>
  <c r="F135" i="33" s="1"/>
  <c r="AB46" i="27"/>
  <c r="S47" i="27" s="1"/>
  <c r="D81" i="33"/>
  <c r="F81" i="33" s="1"/>
  <c r="D5" i="32"/>
  <c r="D25" i="32" s="1"/>
  <c r="I125" i="21"/>
  <c r="J115" i="21"/>
  <c r="H101" i="21"/>
  <c r="D57" i="32"/>
  <c r="F57" i="32" s="1"/>
  <c r="H115" i="21"/>
  <c r="F46" i="33"/>
  <c r="F47" i="33"/>
  <c r="F11" i="33"/>
  <c r="F16" i="33"/>
  <c r="F82" i="33"/>
  <c r="F18" i="33"/>
  <c r="F57" i="33"/>
  <c r="F60" i="32"/>
  <c r="F8" i="33"/>
  <c r="F66" i="33"/>
  <c r="F16" i="31"/>
  <c r="F66" i="32"/>
  <c r="F60" i="31"/>
  <c r="E98" i="31"/>
  <c r="F98" i="31" s="1"/>
  <c r="E97" i="33"/>
  <c r="F97" i="33" s="1"/>
  <c r="E98" i="33"/>
  <c r="E97" i="32"/>
  <c r="F97" i="32" s="1"/>
  <c r="E125" i="32"/>
  <c r="E126" i="32"/>
  <c r="E125" i="31"/>
  <c r="E88" i="32"/>
  <c r="F88" i="32" s="1"/>
  <c r="E126" i="31"/>
  <c r="F126" i="31" s="1"/>
  <c r="E88" i="31"/>
  <c r="F88" i="31" s="1"/>
  <c r="E88" i="33"/>
  <c r="F88" i="33" s="1"/>
  <c r="E83" i="33"/>
  <c r="F83" i="33" s="1"/>
  <c r="E120" i="33"/>
  <c r="E83" i="31"/>
  <c r="F83" i="31" s="1"/>
  <c r="E120" i="31"/>
  <c r="E121" i="31"/>
  <c r="F121" i="31" s="1"/>
  <c r="E83" i="32"/>
  <c r="F83" i="32" s="1"/>
  <c r="E78" i="31"/>
  <c r="E79" i="31"/>
  <c r="E80" i="31"/>
  <c r="F80" i="31" s="1"/>
  <c r="E76" i="32"/>
  <c r="F76" i="32" s="1"/>
  <c r="E76" i="33"/>
  <c r="F76" i="33" s="1"/>
  <c r="E77" i="32"/>
  <c r="F77" i="32" s="1"/>
  <c r="E77" i="33"/>
  <c r="F77" i="33" s="1"/>
  <c r="E78" i="32"/>
  <c r="F78" i="32" s="1"/>
  <c r="E78" i="33"/>
  <c r="F78" i="33" s="1"/>
  <c r="E79" i="32"/>
  <c r="F79" i="32" s="1"/>
  <c r="E79" i="33"/>
  <c r="F79" i="33" s="1"/>
  <c r="E80" i="32"/>
  <c r="F80" i="32" s="1"/>
  <c r="E76" i="31"/>
  <c r="F76" i="31" s="1"/>
  <c r="E72" i="32"/>
  <c r="F72" i="32" s="1"/>
  <c r="E73" i="32"/>
  <c r="F73" i="32" s="1"/>
  <c r="E74" i="32"/>
  <c r="F74" i="32" s="1"/>
  <c r="E72" i="31"/>
  <c r="F72" i="31" s="1"/>
  <c r="E73" i="31"/>
  <c r="F73" i="31" s="1"/>
  <c r="E74" i="31"/>
  <c r="F74" i="31" s="1"/>
  <c r="E72" i="33"/>
  <c r="F72" i="33" s="1"/>
  <c r="E73" i="33"/>
  <c r="F73" i="33" s="1"/>
  <c r="E62" i="33"/>
  <c r="F62" i="33" s="1"/>
  <c r="F68" i="21"/>
  <c r="E62" i="32"/>
  <c r="F62" i="32" s="1"/>
  <c r="E59" i="32"/>
  <c r="F59" i="32" s="1"/>
  <c r="E59" i="31"/>
  <c r="F59" i="31" s="1"/>
  <c r="E59" i="33"/>
  <c r="F59" i="33" s="1"/>
  <c r="F46" i="32"/>
  <c r="F18" i="32"/>
  <c r="F64" i="31"/>
  <c r="F124" i="31"/>
  <c r="F48" i="31"/>
  <c r="F18" i="31"/>
  <c r="D102" i="33"/>
  <c r="D26" i="33"/>
  <c r="D38" i="32"/>
  <c r="F38" i="32" s="1"/>
  <c r="F68" i="31"/>
  <c r="F77" i="31"/>
  <c r="F13" i="32"/>
  <c r="F33" i="33"/>
  <c r="F15" i="32"/>
  <c r="F28" i="33"/>
  <c r="F80" i="33"/>
  <c r="D118" i="33"/>
  <c r="F62" i="31"/>
  <c r="F90" i="31"/>
  <c r="D102" i="31"/>
  <c r="D120" i="33"/>
  <c r="F65" i="31"/>
  <c r="F31" i="33"/>
  <c r="F20" i="32"/>
  <c r="D104" i="33"/>
  <c r="F95" i="33"/>
  <c r="F74" i="33"/>
  <c r="F40" i="33"/>
  <c r="F20" i="33"/>
  <c r="D117" i="33"/>
  <c r="F60" i="33"/>
  <c r="F70" i="33"/>
  <c r="D110" i="33"/>
  <c r="D111" i="33"/>
  <c r="F121" i="33"/>
  <c r="F126" i="33"/>
  <c r="D103" i="33"/>
  <c r="F109" i="33"/>
  <c r="F134" i="33"/>
  <c r="F50" i="33"/>
  <c r="F71" i="33"/>
  <c r="D98" i="33"/>
  <c r="F35" i="33"/>
  <c r="F133" i="33"/>
  <c r="F98" i="32"/>
  <c r="F117" i="32"/>
  <c r="F112" i="32"/>
  <c r="F35" i="32"/>
  <c r="F128" i="32"/>
  <c r="F33" i="32"/>
  <c r="F40" i="32"/>
  <c r="D121" i="32"/>
  <c r="D122" i="32"/>
  <c r="D124" i="32"/>
  <c r="D126" i="32"/>
  <c r="D116" i="32"/>
  <c r="D118" i="32"/>
  <c r="D119" i="32"/>
  <c r="D110" i="32"/>
  <c r="D111" i="32"/>
  <c r="F28" i="32"/>
  <c r="D102" i="32"/>
  <c r="D103" i="32"/>
  <c r="D104" i="32"/>
  <c r="F109" i="32"/>
  <c r="F134" i="32"/>
  <c r="D26" i="32"/>
  <c r="F71" i="32"/>
  <c r="F108" i="32"/>
  <c r="F6" i="32"/>
  <c r="F8" i="32"/>
  <c r="F65" i="32"/>
  <c r="F90" i="32"/>
  <c r="F36" i="32"/>
  <c r="F128" i="31"/>
  <c r="F100" i="31"/>
  <c r="F40" i="31"/>
  <c r="F70" i="31"/>
  <c r="F33" i="31"/>
  <c r="F35" i="31"/>
  <c r="F20" i="31"/>
  <c r="F31" i="31"/>
  <c r="D114" i="31"/>
  <c r="D117" i="31"/>
  <c r="D118" i="31"/>
  <c r="D119" i="31"/>
  <c r="D29" i="31"/>
  <c r="D111" i="31"/>
  <c r="D112" i="31"/>
  <c r="D26" i="31"/>
  <c r="F50" i="31"/>
  <c r="F106" i="31"/>
  <c r="F107" i="31"/>
  <c r="F108" i="31"/>
  <c r="F6" i="31"/>
  <c r="F8" i="31"/>
  <c r="F104" i="31"/>
  <c r="F9" i="31"/>
  <c r="F11" i="31"/>
  <c r="F13" i="31"/>
  <c r="F15" i="31"/>
  <c r="D38" i="31"/>
  <c r="F133" i="31"/>
  <c r="K3" i="21"/>
  <c r="H4" i="21" s="1"/>
  <c r="H147" i="21" s="1"/>
  <c r="H148" i="21" s="1"/>
  <c r="AB82" i="27"/>
  <c r="AB54" i="27"/>
  <c r="G106" i="21"/>
  <c r="AB73" i="27"/>
  <c r="G96" i="21"/>
  <c r="G42" i="21"/>
  <c r="C17" i="23"/>
  <c r="C20" i="23" s="1"/>
  <c r="C21" i="23" s="1"/>
  <c r="C23" i="23" s="1"/>
  <c r="G68" i="21"/>
  <c r="E90" i="21"/>
  <c r="AB16" i="27"/>
  <c r="AE16" i="27"/>
  <c r="AD16" i="27"/>
  <c r="X16" i="27"/>
  <c r="AA16" i="27"/>
  <c r="Y16" i="27"/>
  <c r="C95" i="23"/>
  <c r="C96" i="23" s="1"/>
  <c r="S16" i="27"/>
  <c r="T16" i="27"/>
  <c r="W16" i="27"/>
  <c r="R16" i="27"/>
  <c r="C34" i="23"/>
  <c r="C33" i="23"/>
  <c r="C45" i="23"/>
  <c r="C44" i="23"/>
  <c r="C75" i="23"/>
  <c r="C76" i="23"/>
  <c r="C11" i="23"/>
  <c r="D54" i="21"/>
  <c r="F54" i="21" s="1"/>
  <c r="D52" i="21"/>
  <c r="F52" i="21" s="1"/>
  <c r="D53" i="21"/>
  <c r="B56" i="21"/>
  <c r="B55" i="21"/>
  <c r="F42" i="21"/>
  <c r="F19" i="32" l="1"/>
  <c r="F19" i="33"/>
  <c r="F19" i="31"/>
  <c r="F102" i="31"/>
  <c r="F9" i="21"/>
  <c r="G9" i="21"/>
  <c r="H12" i="21"/>
  <c r="H35" i="21" s="1"/>
  <c r="F53" i="21"/>
  <c r="G51" i="21"/>
  <c r="D7" i="31"/>
  <c r="D27" i="31" s="1"/>
  <c r="F27" i="31" s="1"/>
  <c r="I12" i="21"/>
  <c r="F14" i="28"/>
  <c r="D34" i="21"/>
  <c r="D33" i="21"/>
  <c r="D7" i="32"/>
  <c r="F7" i="32" s="1"/>
  <c r="I43" i="21"/>
  <c r="J14" i="21"/>
  <c r="D12" i="32" s="1"/>
  <c r="H5" i="21"/>
  <c r="G5" i="21" s="1"/>
  <c r="F11" i="28"/>
  <c r="F136" i="32"/>
  <c r="F14" i="31"/>
  <c r="D10" i="32"/>
  <c r="F10" i="32" s="1"/>
  <c r="F104" i="33"/>
  <c r="F102" i="33"/>
  <c r="F7" i="33"/>
  <c r="F14" i="32"/>
  <c r="D27" i="32"/>
  <c r="F27" i="32" s="1"/>
  <c r="F14" i="33"/>
  <c r="D18" i="21"/>
  <c r="F18" i="21" s="1"/>
  <c r="F118" i="33"/>
  <c r="D89" i="31"/>
  <c r="D127" i="31" s="1"/>
  <c r="F127" i="31" s="1"/>
  <c r="I28" i="21"/>
  <c r="D5" i="31"/>
  <c r="I20" i="21"/>
  <c r="G141" i="21"/>
  <c r="D119" i="33"/>
  <c r="F119" i="33" s="1"/>
  <c r="G134" i="21"/>
  <c r="D89" i="32"/>
  <c r="J133" i="21"/>
  <c r="R47" i="27"/>
  <c r="T47" i="27"/>
  <c r="U47" i="27"/>
  <c r="Z47" i="27"/>
  <c r="Y47" i="27"/>
  <c r="AA47" i="27"/>
  <c r="F78" i="31"/>
  <c r="D20" i="21"/>
  <c r="F20" i="21" s="1"/>
  <c r="F5" i="32"/>
  <c r="V47" i="27"/>
  <c r="D95" i="32"/>
  <c r="F95" i="32" s="1"/>
  <c r="W47" i="27"/>
  <c r="H133" i="21"/>
  <c r="D89" i="33"/>
  <c r="X47" i="27"/>
  <c r="H111" i="21"/>
  <c r="D67" i="33"/>
  <c r="D63" i="21"/>
  <c r="D101" i="21" s="1"/>
  <c r="F101" i="21" s="1"/>
  <c r="D67" i="32"/>
  <c r="J111" i="21"/>
  <c r="F120" i="33"/>
  <c r="E128" i="21"/>
  <c r="E84" i="32"/>
  <c r="F84" i="32" s="1"/>
  <c r="E84" i="31"/>
  <c r="F84" i="31" s="1"/>
  <c r="E84" i="33"/>
  <c r="F84" i="33" s="1"/>
  <c r="F136" i="33"/>
  <c r="C158" i="33" s="1"/>
  <c r="H164" i="21" s="1"/>
  <c r="F136" i="31"/>
  <c r="C158" i="31" s="1"/>
  <c r="I164" i="21" s="1"/>
  <c r="I4" i="21"/>
  <c r="J4" i="21"/>
  <c r="J147" i="21" s="1"/>
  <c r="E141" i="33"/>
  <c r="F79" i="31"/>
  <c r="F38" i="33"/>
  <c r="F103" i="33"/>
  <c r="F39" i="33"/>
  <c r="F29" i="33"/>
  <c r="F111" i="33"/>
  <c r="F117" i="33"/>
  <c r="F110" i="33"/>
  <c r="F26" i="33"/>
  <c r="F98" i="33"/>
  <c r="C158" i="32"/>
  <c r="J164" i="21" s="1"/>
  <c r="F26" i="32"/>
  <c r="F110" i="32"/>
  <c r="F119" i="32"/>
  <c r="F51" i="32"/>
  <c r="F104" i="32"/>
  <c r="F118" i="32"/>
  <c r="F102" i="32"/>
  <c r="F25" i="32"/>
  <c r="F126" i="32"/>
  <c r="F124" i="32"/>
  <c r="F103" i="32"/>
  <c r="F39" i="32"/>
  <c r="F121" i="32"/>
  <c r="F116" i="32"/>
  <c r="F111" i="32"/>
  <c r="F119" i="31"/>
  <c r="F117" i="31"/>
  <c r="F114" i="31"/>
  <c r="F112" i="31"/>
  <c r="F38" i="31"/>
  <c r="F111" i="31"/>
  <c r="F118" i="31"/>
  <c r="F116" i="31"/>
  <c r="F39" i="31"/>
  <c r="F26" i="31"/>
  <c r="F29" i="31"/>
  <c r="AB79" i="27"/>
  <c r="D66" i="21"/>
  <c r="AB52" i="27"/>
  <c r="D140" i="21"/>
  <c r="G140" i="21" s="1"/>
  <c r="D67" i="21"/>
  <c r="AB76" i="27"/>
  <c r="D90" i="21"/>
  <c r="D128" i="21" s="1"/>
  <c r="AB75" i="27"/>
  <c r="D89" i="21"/>
  <c r="D79" i="21"/>
  <c r="AB65" i="27"/>
  <c r="D93" i="21"/>
  <c r="U16" i="27"/>
  <c r="R19" i="27" s="1"/>
  <c r="D65" i="21"/>
  <c r="AB51" i="27"/>
  <c r="D139" i="21"/>
  <c r="F139" i="21" s="1"/>
  <c r="D95" i="21"/>
  <c r="AB81" i="27"/>
  <c r="D64" i="21"/>
  <c r="AB78" i="27"/>
  <c r="D92" i="21"/>
  <c r="AB74" i="27"/>
  <c r="D88" i="21"/>
  <c r="AB77" i="27"/>
  <c r="D91" i="21"/>
  <c r="D80" i="21"/>
  <c r="AB66" i="27"/>
  <c r="D83" i="21"/>
  <c r="AB69" i="27"/>
  <c r="J20" i="21"/>
  <c r="G56" i="21"/>
  <c r="C22" i="23"/>
  <c r="D32" i="21"/>
  <c r="G32" i="21" s="1"/>
  <c r="D39" i="21"/>
  <c r="G39" i="21" s="1"/>
  <c r="G16" i="21"/>
  <c r="G11" i="21"/>
  <c r="G10" i="21"/>
  <c r="G54" i="21"/>
  <c r="G52" i="21"/>
  <c r="G53" i="21"/>
  <c r="Z16" i="27"/>
  <c r="AC16" i="27"/>
  <c r="AF16" i="27"/>
  <c r="C62" i="23"/>
  <c r="C63" i="23" s="1"/>
  <c r="C64" i="23" s="1"/>
  <c r="C65" i="23" s="1"/>
  <c r="C97" i="23"/>
  <c r="V16" i="27"/>
  <c r="S19" i="27" s="1"/>
  <c r="T19" i="27"/>
  <c r="D10" i="33" l="1"/>
  <c r="D30" i="33" s="1"/>
  <c r="F30" i="33" s="1"/>
  <c r="F7" i="31"/>
  <c r="F51" i="21"/>
  <c r="F13" i="28"/>
  <c r="J37" i="21"/>
  <c r="H14" i="21"/>
  <c r="H55" i="21"/>
  <c r="D49" i="33" s="1"/>
  <c r="F49" i="33" s="1"/>
  <c r="F51" i="33" s="1"/>
  <c r="C153" i="33" s="1"/>
  <c r="H159" i="21" s="1"/>
  <c r="F15" i="28"/>
  <c r="I35" i="21"/>
  <c r="D10" i="31"/>
  <c r="I55" i="21"/>
  <c r="D49" i="31" s="1"/>
  <c r="F49" i="31" s="1"/>
  <c r="F51" i="31" s="1"/>
  <c r="C153" i="31" s="1"/>
  <c r="I159" i="21" s="1"/>
  <c r="I14" i="21"/>
  <c r="F41" i="21"/>
  <c r="H43" i="21"/>
  <c r="I147" i="21"/>
  <c r="E141" i="31" s="1"/>
  <c r="D30" i="32"/>
  <c r="F30" i="32" s="1"/>
  <c r="F89" i="31"/>
  <c r="D32" i="32"/>
  <c r="F32" i="32" s="1"/>
  <c r="F12" i="32"/>
  <c r="D17" i="31"/>
  <c r="F5" i="31"/>
  <c r="D25" i="31"/>
  <c r="F25" i="31" s="1"/>
  <c r="AB47" i="27"/>
  <c r="D127" i="32"/>
  <c r="F127" i="32" s="1"/>
  <c r="F89" i="32"/>
  <c r="F90" i="21"/>
  <c r="G87" i="21"/>
  <c r="G125" i="21"/>
  <c r="D85" i="33"/>
  <c r="H129" i="21"/>
  <c r="F93" i="21"/>
  <c r="D131" i="21"/>
  <c r="F131" i="21" s="1"/>
  <c r="D87" i="33"/>
  <c r="H131" i="21"/>
  <c r="D82" i="32"/>
  <c r="J126" i="21"/>
  <c r="D82" i="31"/>
  <c r="I126" i="21"/>
  <c r="H28" i="21"/>
  <c r="D5" i="33"/>
  <c r="F64" i="21"/>
  <c r="D102" i="21"/>
  <c r="F102" i="21" s="1"/>
  <c r="K4" i="21"/>
  <c r="I129" i="21"/>
  <c r="D85" i="31"/>
  <c r="I131" i="21"/>
  <c r="D87" i="31"/>
  <c r="D17" i="32"/>
  <c r="D127" i="21"/>
  <c r="F127" i="21" s="1"/>
  <c r="F89" i="21"/>
  <c r="D129" i="21"/>
  <c r="F129" i="21" s="1"/>
  <c r="F91" i="21"/>
  <c r="J131" i="21"/>
  <c r="D87" i="32"/>
  <c r="D12" i="21"/>
  <c r="F12" i="21" s="1"/>
  <c r="D28" i="21"/>
  <c r="D126" i="21"/>
  <c r="F126" i="21" s="1"/>
  <c r="F88" i="21"/>
  <c r="G66" i="21"/>
  <c r="F66" i="21"/>
  <c r="D104" i="21"/>
  <c r="F104" i="21" s="1"/>
  <c r="F92" i="21"/>
  <c r="D130" i="21"/>
  <c r="F130" i="21" s="1"/>
  <c r="D105" i="21"/>
  <c r="F105" i="21" s="1"/>
  <c r="F67" i="21"/>
  <c r="J129" i="21"/>
  <c r="D85" i="32"/>
  <c r="G65" i="21"/>
  <c r="D103" i="21"/>
  <c r="F103" i="21" s="1"/>
  <c r="F65" i="21"/>
  <c r="F95" i="21"/>
  <c r="D133" i="21"/>
  <c r="F133" i="21" s="1"/>
  <c r="F89" i="33"/>
  <c r="D127" i="33"/>
  <c r="F127" i="33" s="1"/>
  <c r="D86" i="21"/>
  <c r="G86" i="21" s="1"/>
  <c r="H119" i="21"/>
  <c r="D75" i="33"/>
  <c r="I101" i="21"/>
  <c r="G101" i="21" s="1"/>
  <c r="D57" i="31"/>
  <c r="D71" i="31"/>
  <c r="I115" i="21"/>
  <c r="F67" i="32"/>
  <c r="D105" i="32"/>
  <c r="F105" i="32" s="1"/>
  <c r="D121" i="21"/>
  <c r="F121" i="21" s="1"/>
  <c r="F83" i="21"/>
  <c r="H107" i="21"/>
  <c r="D63" i="33"/>
  <c r="G79" i="21"/>
  <c r="D117" i="21"/>
  <c r="F117" i="21" s="1"/>
  <c r="F79" i="21"/>
  <c r="G80" i="21"/>
  <c r="D118" i="21"/>
  <c r="F118" i="21" s="1"/>
  <c r="F80" i="21"/>
  <c r="J107" i="21"/>
  <c r="D63" i="32"/>
  <c r="J119" i="21"/>
  <c r="D75" i="32"/>
  <c r="F67" i="33"/>
  <c r="D105" i="33"/>
  <c r="F105" i="33" s="1"/>
  <c r="D67" i="31"/>
  <c r="I111" i="21"/>
  <c r="J148" i="21"/>
  <c r="E141" i="32"/>
  <c r="E122" i="31"/>
  <c r="F122" i="31" s="1"/>
  <c r="E122" i="33"/>
  <c r="F122" i="33" s="1"/>
  <c r="F128" i="21"/>
  <c r="E122" i="32"/>
  <c r="F122" i="32" s="1"/>
  <c r="C153" i="32"/>
  <c r="J159" i="21" s="1"/>
  <c r="G88" i="21"/>
  <c r="G93" i="21"/>
  <c r="F140" i="21"/>
  <c r="F142" i="21" s="1"/>
  <c r="C164" i="21" s="1"/>
  <c r="G91" i="21"/>
  <c r="G90" i="21"/>
  <c r="G139" i="21"/>
  <c r="D81" i="21"/>
  <c r="AB67" i="27"/>
  <c r="AB53" i="27"/>
  <c r="AB50" i="27"/>
  <c r="AB61" i="27"/>
  <c r="D75" i="21"/>
  <c r="D85" i="21"/>
  <c r="AB71" i="27"/>
  <c r="D78" i="21"/>
  <c r="AB64" i="27"/>
  <c r="D84" i="21"/>
  <c r="AB70" i="27"/>
  <c r="AB60" i="27"/>
  <c r="D74" i="21"/>
  <c r="D82" i="21"/>
  <c r="AB68" i="27"/>
  <c r="D77" i="21"/>
  <c r="AB63" i="27"/>
  <c r="AB80" i="27"/>
  <c r="D94" i="21"/>
  <c r="G83" i="21"/>
  <c r="D76" i="21"/>
  <c r="AB62" i="27"/>
  <c r="AB58" i="27"/>
  <c r="D72" i="21"/>
  <c r="D71" i="21"/>
  <c r="AB57" i="27"/>
  <c r="AB59" i="27"/>
  <c r="D73" i="21"/>
  <c r="D69" i="21"/>
  <c r="AB55" i="27"/>
  <c r="AB72" i="27"/>
  <c r="G95" i="21"/>
  <c r="H20" i="21"/>
  <c r="G18" i="21"/>
  <c r="F32" i="21"/>
  <c r="G13" i="21"/>
  <c r="D36" i="21"/>
  <c r="F39" i="21"/>
  <c r="G23" i="21"/>
  <c r="D46" i="21"/>
  <c r="G21" i="21"/>
  <c r="D44" i="21"/>
  <c r="G7" i="21"/>
  <c r="D30" i="21"/>
  <c r="D43" i="21"/>
  <c r="G15" i="21"/>
  <c r="D38" i="21"/>
  <c r="C50" i="23"/>
  <c r="C54" i="23" s="1"/>
  <c r="C55" i="23" s="1"/>
  <c r="F34" i="21"/>
  <c r="G34" i="21"/>
  <c r="F33" i="21"/>
  <c r="G33" i="21"/>
  <c r="G41" i="21"/>
  <c r="G92" i="21"/>
  <c r="F63" i="21"/>
  <c r="G63" i="21"/>
  <c r="G89" i="21"/>
  <c r="F10" i="33" l="1"/>
  <c r="I37" i="21"/>
  <c r="D12" i="31"/>
  <c r="D30" i="31"/>
  <c r="F30" i="31" s="1"/>
  <c r="F10" i="31"/>
  <c r="H37" i="21"/>
  <c r="D12" i="33"/>
  <c r="F17" i="31"/>
  <c r="D37" i="31"/>
  <c r="F37" i="31" s="1"/>
  <c r="G12" i="21"/>
  <c r="G121" i="21"/>
  <c r="G104" i="21"/>
  <c r="G129" i="21"/>
  <c r="G126" i="21"/>
  <c r="F17" i="32"/>
  <c r="F21" i="32" s="1"/>
  <c r="C151" i="32" s="1"/>
  <c r="J157" i="21" s="1"/>
  <c r="D37" i="32"/>
  <c r="F37" i="32" s="1"/>
  <c r="F41" i="32" s="1"/>
  <c r="C152" i="32" s="1"/>
  <c r="J158" i="21" s="1"/>
  <c r="F82" i="31"/>
  <c r="D120" i="31"/>
  <c r="F120" i="31" s="1"/>
  <c r="F85" i="32"/>
  <c r="D123" i="32"/>
  <c r="F123" i="32" s="1"/>
  <c r="D61" i="31"/>
  <c r="I105" i="21"/>
  <c r="D61" i="33"/>
  <c r="H105" i="21"/>
  <c r="D125" i="31"/>
  <c r="F125" i="31" s="1"/>
  <c r="F87" i="31"/>
  <c r="F82" i="32"/>
  <c r="D120" i="32"/>
  <c r="F120" i="32" s="1"/>
  <c r="G118" i="21"/>
  <c r="D125" i="33"/>
  <c r="F125" i="33" s="1"/>
  <c r="F87" i="33"/>
  <c r="D125" i="32"/>
  <c r="F125" i="32" s="1"/>
  <c r="F87" i="32"/>
  <c r="J102" i="21"/>
  <c r="D58" i="32"/>
  <c r="G43" i="21"/>
  <c r="D17" i="33"/>
  <c r="D123" i="31"/>
  <c r="F123" i="31" s="1"/>
  <c r="F85" i="31"/>
  <c r="D58" i="31"/>
  <c r="I102" i="21"/>
  <c r="D58" i="33"/>
  <c r="H102" i="21"/>
  <c r="G94" i="21"/>
  <c r="D132" i="21"/>
  <c r="F132" i="21" s="1"/>
  <c r="F94" i="21"/>
  <c r="D14" i="21"/>
  <c r="F14" i="21" s="1"/>
  <c r="G103" i="21"/>
  <c r="D22" i="21"/>
  <c r="F22" i="21" s="1"/>
  <c r="D61" i="32"/>
  <c r="J105" i="21"/>
  <c r="F85" i="33"/>
  <c r="D123" i="33"/>
  <c r="F123" i="33" s="1"/>
  <c r="D25" i="33"/>
  <c r="F25" i="33" s="1"/>
  <c r="F5" i="33"/>
  <c r="F74" i="21"/>
  <c r="D112" i="21"/>
  <c r="F112" i="21" s="1"/>
  <c r="I107" i="21"/>
  <c r="D63" i="31"/>
  <c r="F75" i="21"/>
  <c r="D113" i="21"/>
  <c r="F113" i="21" s="1"/>
  <c r="D113" i="33"/>
  <c r="F113" i="33" s="1"/>
  <c r="F75" i="33"/>
  <c r="F63" i="32"/>
  <c r="D101" i="32"/>
  <c r="F101" i="32" s="1"/>
  <c r="D105" i="31"/>
  <c r="F105" i="31" s="1"/>
  <c r="F67" i="31"/>
  <c r="F72" i="21"/>
  <c r="D110" i="21"/>
  <c r="F110" i="21" s="1"/>
  <c r="I119" i="21"/>
  <c r="D75" i="31"/>
  <c r="D124" i="21"/>
  <c r="F124" i="21" s="1"/>
  <c r="F86" i="21"/>
  <c r="F77" i="21"/>
  <c r="D115" i="21"/>
  <c r="F115" i="21" s="1"/>
  <c r="D113" i="32"/>
  <c r="F113" i="32" s="1"/>
  <c r="F75" i="32"/>
  <c r="D109" i="31"/>
  <c r="F109" i="31" s="1"/>
  <c r="F71" i="31"/>
  <c r="G82" i="21"/>
  <c r="D120" i="21"/>
  <c r="F120" i="21" s="1"/>
  <c r="F82" i="21"/>
  <c r="F69" i="21"/>
  <c r="D107" i="21"/>
  <c r="F107" i="21" s="1"/>
  <c r="F73" i="21"/>
  <c r="D111" i="21"/>
  <c r="F111" i="21" s="1"/>
  <c r="D101" i="33"/>
  <c r="F101" i="33" s="1"/>
  <c r="F63" i="33"/>
  <c r="G76" i="21"/>
  <c r="F76" i="21"/>
  <c r="D114" i="21"/>
  <c r="F114" i="21" s="1"/>
  <c r="G78" i="21"/>
  <c r="D116" i="21"/>
  <c r="F116" i="21" s="1"/>
  <c r="F78" i="21"/>
  <c r="G71" i="21"/>
  <c r="F71" i="21"/>
  <c r="D109" i="21"/>
  <c r="F109" i="21" s="1"/>
  <c r="D122" i="21"/>
  <c r="F122" i="21" s="1"/>
  <c r="F84" i="21"/>
  <c r="D123" i="21"/>
  <c r="F123" i="21" s="1"/>
  <c r="F85" i="21"/>
  <c r="D119" i="21"/>
  <c r="F119" i="21" s="1"/>
  <c r="F81" i="21"/>
  <c r="D95" i="31"/>
  <c r="F95" i="31" s="1"/>
  <c r="F57" i="31"/>
  <c r="G131" i="21"/>
  <c r="G72" i="21"/>
  <c r="G85" i="21"/>
  <c r="G74" i="21"/>
  <c r="G75" i="21"/>
  <c r="G77" i="21"/>
  <c r="D35" i="21"/>
  <c r="G35" i="21" s="1"/>
  <c r="D70" i="21"/>
  <c r="AB56" i="27"/>
  <c r="G81" i="21"/>
  <c r="G20" i="21"/>
  <c r="D55" i="21"/>
  <c r="F55" i="21" s="1"/>
  <c r="F57" i="21" s="1"/>
  <c r="G117" i="21"/>
  <c r="C57" i="23"/>
  <c r="C6" i="24" s="1"/>
  <c r="C8" i="24" s="1"/>
  <c r="D35" i="24" s="1"/>
  <c r="C56" i="23"/>
  <c r="C10" i="24" s="1"/>
  <c r="F18" i="24" s="1"/>
  <c r="C6" i="26" s="1"/>
  <c r="E6" i="26" s="1"/>
  <c r="F6" i="26" s="1"/>
  <c r="F44" i="21"/>
  <c r="G44" i="21"/>
  <c r="F46" i="21"/>
  <c r="G46" i="21"/>
  <c r="F36" i="21"/>
  <c r="G36" i="21"/>
  <c r="F38" i="21"/>
  <c r="G38" i="21"/>
  <c r="F30" i="21"/>
  <c r="G30" i="21"/>
  <c r="F28" i="21"/>
  <c r="G28" i="21"/>
  <c r="F43" i="21"/>
  <c r="G128" i="21"/>
  <c r="G111" i="21" l="1"/>
  <c r="D32" i="33"/>
  <c r="F32" i="33" s="1"/>
  <c r="F12" i="33"/>
  <c r="D32" i="31"/>
  <c r="F32" i="31" s="1"/>
  <c r="F41" i="31" s="1"/>
  <c r="C152" i="31" s="1"/>
  <c r="I158" i="21" s="1"/>
  <c r="F12" i="31"/>
  <c r="F21" i="31" s="1"/>
  <c r="F52" i="32"/>
  <c r="G69" i="21"/>
  <c r="G112" i="21"/>
  <c r="G114" i="21"/>
  <c r="G110" i="21"/>
  <c r="C154" i="32"/>
  <c r="J160" i="21" s="1"/>
  <c r="G84" i="21"/>
  <c r="G67" i="21"/>
  <c r="G105" i="21"/>
  <c r="D37" i="33"/>
  <c r="F37" i="33" s="1"/>
  <c r="F17" i="33"/>
  <c r="D99" i="33"/>
  <c r="F99" i="33" s="1"/>
  <c r="F61" i="33"/>
  <c r="D96" i="32"/>
  <c r="F96" i="32" s="1"/>
  <c r="F58" i="32"/>
  <c r="F91" i="32" s="1"/>
  <c r="C156" i="32" s="1"/>
  <c r="J162" i="21" s="1"/>
  <c r="D99" i="31"/>
  <c r="F99" i="31" s="1"/>
  <c r="F61" i="31"/>
  <c r="G116" i="21"/>
  <c r="D96" i="33"/>
  <c r="F96" i="33" s="1"/>
  <c r="F58" i="33"/>
  <c r="D99" i="32"/>
  <c r="F99" i="32" s="1"/>
  <c r="F61" i="32"/>
  <c r="D96" i="31"/>
  <c r="F96" i="31" s="1"/>
  <c r="F58" i="31"/>
  <c r="G64" i="21"/>
  <c r="G102" i="21"/>
  <c r="F63" i="31"/>
  <c r="D101" i="31"/>
  <c r="F101" i="31" s="1"/>
  <c r="G122" i="21"/>
  <c r="G124" i="21"/>
  <c r="G73" i="21"/>
  <c r="D113" i="31"/>
  <c r="F113" i="31" s="1"/>
  <c r="F75" i="31"/>
  <c r="G123" i="21"/>
  <c r="G70" i="21"/>
  <c r="F70" i="21"/>
  <c r="F97" i="21" s="1"/>
  <c r="D108" i="21"/>
  <c r="F108" i="21" s="1"/>
  <c r="F135" i="21" s="1"/>
  <c r="G120" i="21"/>
  <c r="G113" i="21"/>
  <c r="G109" i="21"/>
  <c r="F35" i="21"/>
  <c r="G115" i="21"/>
  <c r="G119" i="21"/>
  <c r="G107" i="21"/>
  <c r="G133" i="21"/>
  <c r="C159" i="21"/>
  <c r="G55" i="21"/>
  <c r="F35" i="24"/>
  <c r="H43" i="25"/>
  <c r="G22" i="21"/>
  <c r="D45" i="21"/>
  <c r="D36" i="24"/>
  <c r="F36" i="24" s="1"/>
  <c r="D29" i="24"/>
  <c r="D34" i="24"/>
  <c r="D41" i="24"/>
  <c r="D42" i="24"/>
  <c r="D31" i="24"/>
  <c r="D27" i="24"/>
  <c r="D38" i="24"/>
  <c r="D30" i="24"/>
  <c r="D37" i="24"/>
  <c r="D28" i="24"/>
  <c r="D43" i="24"/>
  <c r="D37" i="21"/>
  <c r="G14" i="21"/>
  <c r="D26" i="24"/>
  <c r="D18" i="24"/>
  <c r="H5" i="25" s="1"/>
  <c r="D24" i="24"/>
  <c r="F24" i="24" s="1"/>
  <c r="D25" i="24"/>
  <c r="H16" i="25" s="1"/>
  <c r="G130" i="21"/>
  <c r="G127" i="21"/>
  <c r="G132" i="21"/>
  <c r="F5" i="21"/>
  <c r="F24" i="21" s="1"/>
  <c r="F21" i="33" l="1"/>
  <c r="C151" i="33" s="1"/>
  <c r="H157" i="21" s="1"/>
  <c r="F41" i="33"/>
  <c r="C152" i="33" s="1"/>
  <c r="C151" i="31"/>
  <c r="I157" i="21" s="1"/>
  <c r="F52" i="31"/>
  <c r="F91" i="31"/>
  <c r="C156" i="31" s="1"/>
  <c r="I162" i="21" s="1"/>
  <c r="F129" i="32"/>
  <c r="C157" i="32" s="1"/>
  <c r="J163" i="21" s="1"/>
  <c r="F91" i="33"/>
  <c r="C156" i="33" s="1"/>
  <c r="H162" i="21" s="1"/>
  <c r="F129" i="33"/>
  <c r="C157" i="33" s="1"/>
  <c r="H163" i="21" s="1"/>
  <c r="F129" i="31"/>
  <c r="F137" i="31" s="1"/>
  <c r="G108" i="21"/>
  <c r="F143" i="21"/>
  <c r="C163" i="21"/>
  <c r="D44" i="24"/>
  <c r="F30" i="24"/>
  <c r="H33" i="25"/>
  <c r="F27" i="24"/>
  <c r="H27" i="25"/>
  <c r="H19" i="25"/>
  <c r="F41" i="24"/>
  <c r="H57" i="25"/>
  <c r="H58" i="25" s="1"/>
  <c r="F26" i="24"/>
  <c r="C11" i="26" s="1"/>
  <c r="E11" i="26" s="1"/>
  <c r="F11" i="26" s="1"/>
  <c r="H18" i="25"/>
  <c r="H39" i="25"/>
  <c r="H40" i="25" s="1"/>
  <c r="F34" i="24"/>
  <c r="F29" i="24"/>
  <c r="H31" i="25"/>
  <c r="F42" i="24"/>
  <c r="H78" i="25"/>
  <c r="H75" i="25"/>
  <c r="H88" i="25"/>
  <c r="F25" i="24"/>
  <c r="F37" i="21"/>
  <c r="G37" i="21"/>
  <c r="H14" i="25"/>
  <c r="F45" i="21"/>
  <c r="G45" i="21"/>
  <c r="H29" i="25"/>
  <c r="F28" i="24"/>
  <c r="F37" i="24"/>
  <c r="H51" i="25"/>
  <c r="C162" i="21"/>
  <c r="F137" i="32" l="1"/>
  <c r="C157" i="31"/>
  <c r="I163" i="21" s="1"/>
  <c r="C159" i="32"/>
  <c r="J165" i="21" s="1"/>
  <c r="F52" i="33"/>
  <c r="C154" i="31"/>
  <c r="I160" i="21" s="1"/>
  <c r="F137" i="33"/>
  <c r="C159" i="33"/>
  <c r="H165" i="21" s="1"/>
  <c r="C159" i="31"/>
  <c r="I165" i="21" s="1"/>
  <c r="H158" i="21"/>
  <c r="C154" i="33"/>
  <c r="H160" i="21" s="1"/>
  <c r="G162" i="21"/>
  <c r="C165" i="21"/>
  <c r="F47" i="21"/>
  <c r="F58" i="21" s="1"/>
  <c r="F43" i="24"/>
  <c r="C13" i="26" s="1"/>
  <c r="E13" i="26" s="1"/>
  <c r="F13" i="26" s="1"/>
  <c r="H22" i="25"/>
  <c r="F38" i="24"/>
  <c r="C10" i="26" s="1"/>
  <c r="E10" i="26" s="1"/>
  <c r="F10" i="26" s="1"/>
  <c r="C157" i="21"/>
  <c r="H93" i="25"/>
  <c r="H84" i="25" s="1"/>
  <c r="F31" i="24"/>
  <c r="C12" i="26" s="1"/>
  <c r="E12" i="26" s="1"/>
  <c r="F12" i="26" s="1"/>
  <c r="D165" i="21" l="1"/>
  <c r="G164" i="21"/>
  <c r="C158" i="21"/>
  <c r="G158" i="21" s="1"/>
  <c r="G157" i="21"/>
  <c r="C160" i="21" l="1"/>
  <c r="G163" i="21"/>
  <c r="G165" i="21"/>
  <c r="G159" i="21"/>
  <c r="E62" i="22"/>
  <c r="E61" i="22"/>
  <c r="E60" i="22"/>
  <c r="E59" i="22"/>
  <c r="E58" i="22"/>
  <c r="E57" i="22"/>
  <c r="E56" i="22"/>
  <c r="E55" i="22"/>
  <c r="E54" i="22"/>
  <c r="E53" i="22"/>
  <c r="E52" i="22"/>
  <c r="E51" i="22"/>
  <c r="E50" i="22"/>
  <c r="E49" i="22"/>
  <c r="E48" i="22"/>
  <c r="E47" i="22"/>
  <c r="E46" i="22"/>
  <c r="E45" i="22"/>
  <c r="E44" i="22"/>
  <c r="E43" i="22"/>
  <c r="E36" i="22"/>
  <c r="E35" i="22"/>
  <c r="E34" i="22"/>
  <c r="E33" i="22"/>
  <c r="E32" i="22"/>
  <c r="E31" i="22"/>
  <c r="E30" i="22"/>
  <c r="E29" i="22"/>
  <c r="E28" i="22"/>
  <c r="E27" i="22"/>
  <c r="E26" i="22"/>
  <c r="C19" i="22"/>
  <c r="D70" i="22"/>
  <c r="E70" i="22" s="1"/>
  <c r="D160" i="21" l="1"/>
  <c r="G160" i="21"/>
  <c r="C11" i="24"/>
  <c r="K6" i="22"/>
  <c r="E11" i="22"/>
  <c r="F11" i="22" s="1"/>
  <c r="D69" i="22"/>
  <c r="E69" i="22" s="1"/>
  <c r="E72" i="22" s="1"/>
  <c r="B81" i="22" s="1"/>
  <c r="E10" i="22"/>
  <c r="F10" i="22" s="1"/>
  <c r="E12" i="22"/>
  <c r="F12" i="22" s="1"/>
  <c r="G12" i="26" l="1"/>
  <c r="G13" i="26"/>
  <c r="C12" i="24"/>
  <c r="G6" i="26"/>
  <c r="G7" i="26" s="1"/>
  <c r="G17" i="26" s="1"/>
  <c r="F19" i="26"/>
  <c r="G10" i="26"/>
  <c r="G11" i="26"/>
  <c r="E19" i="26"/>
  <c r="F61" i="22"/>
  <c r="G61" i="22" s="1"/>
  <c r="F53" i="22"/>
  <c r="G53" i="22" s="1"/>
  <c r="F45" i="22"/>
  <c r="G45" i="22" s="1"/>
  <c r="F34" i="22"/>
  <c r="G34" i="22" s="1"/>
  <c r="F26" i="22"/>
  <c r="G26" i="22" s="1"/>
  <c r="F47" i="22"/>
  <c r="G47" i="22" s="1"/>
  <c r="F28" i="22"/>
  <c r="G28" i="22" s="1"/>
  <c r="F59" i="22"/>
  <c r="G59" i="22" s="1"/>
  <c r="F58" i="22"/>
  <c r="G58" i="22" s="1"/>
  <c r="F50" i="22"/>
  <c r="G50" i="22" s="1"/>
  <c r="F31" i="22"/>
  <c r="G31" i="22" s="1"/>
  <c r="F55" i="22"/>
  <c r="G55" i="22" s="1"/>
  <c r="F36" i="22"/>
  <c r="G36" i="22" s="1"/>
  <c r="F27" i="22"/>
  <c r="G27" i="22" s="1"/>
  <c r="F32" i="22"/>
  <c r="G32" i="22" s="1"/>
  <c r="F60" i="22"/>
  <c r="G60" i="22" s="1"/>
  <c r="F52" i="22"/>
  <c r="G52" i="22" s="1"/>
  <c r="F44" i="22"/>
  <c r="G44" i="22" s="1"/>
  <c r="F33" i="22"/>
  <c r="G33" i="22" s="1"/>
  <c r="F57" i="22"/>
  <c r="G57" i="22" s="1"/>
  <c r="F49" i="22"/>
  <c r="G49" i="22" s="1"/>
  <c r="F30" i="22"/>
  <c r="G30" i="22" s="1"/>
  <c r="E19" i="22"/>
  <c r="F19" i="22" s="1"/>
  <c r="F20" i="22" s="1"/>
  <c r="B78" i="22" s="1"/>
  <c r="F62" i="22"/>
  <c r="G62" i="22" s="1"/>
  <c r="F54" i="22"/>
  <c r="G54" i="22" s="1"/>
  <c r="F46" i="22"/>
  <c r="G46" i="22" s="1"/>
  <c r="F35" i="22"/>
  <c r="G35" i="22" s="1"/>
  <c r="F51" i="22"/>
  <c r="G51" i="22" s="1"/>
  <c r="F43" i="22"/>
  <c r="G43" i="22" s="1"/>
  <c r="F56" i="22"/>
  <c r="G56" i="22" s="1"/>
  <c r="F48" i="22"/>
  <c r="G48" i="22" s="1"/>
  <c r="F29" i="22"/>
  <c r="G29" i="22" s="1"/>
  <c r="F13" i="22"/>
  <c r="B77" i="22" s="1"/>
  <c r="G14" i="26" l="1"/>
  <c r="G18" i="26" s="1"/>
  <c r="E18" i="26" s="1"/>
  <c r="E17" i="26"/>
  <c r="F17" i="26"/>
  <c r="G63" i="22"/>
  <c r="B80" i="22" s="1"/>
  <c r="G37" i="22"/>
  <c r="B79" i="22" s="1"/>
  <c r="E21" i="26" l="1"/>
  <c r="F18" i="26"/>
  <c r="F21" i="26" s="1"/>
  <c r="G21" i="26"/>
  <c r="B82" i="22"/>
  <c r="E152" i="21" s="1"/>
  <c r="F152" i="21" s="1"/>
  <c r="E147" i="21" l="1"/>
  <c r="G147" i="21" s="1"/>
  <c r="F141" i="32"/>
  <c r="F142" i="32" s="1"/>
  <c r="F141" i="33"/>
  <c r="F142" i="33" s="1"/>
  <c r="F141" i="31"/>
  <c r="F142" i="31" s="1"/>
  <c r="F153" i="21" l="1"/>
  <c r="C168" i="21" s="1"/>
  <c r="C169" i="21" s="1"/>
  <c r="K153" i="21"/>
  <c r="F147" i="21"/>
  <c r="F148" i="21" s="1"/>
  <c r="C160" i="31"/>
  <c r="C160" i="32"/>
  <c r="C160" i="33"/>
  <c r="K148" i="21" l="1"/>
  <c r="C161" i="32"/>
  <c r="J166" i="21"/>
  <c r="C161" i="31"/>
  <c r="I167" i="21" s="1"/>
  <c r="I166" i="21"/>
  <c r="C166" i="21"/>
  <c r="C167" i="21" s="1"/>
  <c r="C170" i="21" s="1"/>
  <c r="C179" i="21" s="1"/>
  <c r="F154" i="21"/>
  <c r="C161" i="33"/>
  <c r="H166" i="21"/>
  <c r="D170" i="21" l="1"/>
  <c r="J167" i="21"/>
  <c r="H167" i="21"/>
  <c r="C171" i="21"/>
  <c r="C172" i="21" l="1"/>
  <c r="I148" i="21"/>
  <c r="G148" i="21" l="1"/>
  <c r="G166" i="21"/>
  <c r="G167" i="21" l="1"/>
  <c r="H152" i="21"/>
  <c r="J152" i="21"/>
  <c r="I152" i="21"/>
  <c r="J153" i="21" l="1"/>
  <c r="E146" i="32"/>
  <c r="F146" i="32" s="1"/>
  <c r="F147" i="32" s="1"/>
  <c r="I153" i="21"/>
  <c r="E146" i="31"/>
  <c r="F146" i="31" s="1"/>
  <c r="F147" i="31" s="1"/>
  <c r="H153" i="21"/>
  <c r="E146" i="33"/>
  <c r="F146" i="33" s="1"/>
  <c r="F147" i="33" s="1"/>
  <c r="G152" i="21"/>
  <c r="G153" i="21" l="1"/>
  <c r="C162" i="32"/>
  <c r="F148" i="32"/>
  <c r="C162" i="33"/>
  <c r="F148" i="33"/>
  <c r="C162" i="31"/>
  <c r="F148" i="31"/>
  <c r="J168" i="21" l="1"/>
  <c r="C163" i="32"/>
  <c r="C163" i="31"/>
  <c r="I168" i="21"/>
  <c r="H168" i="21"/>
  <c r="C163" i="33"/>
  <c r="G168" i="21" l="1"/>
  <c r="J169" i="21"/>
  <c r="C164" i="32"/>
  <c r="C164" i="31"/>
  <c r="I169" i="21"/>
  <c r="H169" i="21"/>
  <c r="C164" i="33"/>
  <c r="J170" i="21" l="1"/>
  <c r="C165" i="32"/>
  <c r="J171" i="21" s="1"/>
  <c r="G169" i="21"/>
  <c r="C165" i="31"/>
  <c r="I170" i="21"/>
  <c r="H170" i="21"/>
  <c r="C165" i="33"/>
  <c r="H171" i="21" s="1"/>
  <c r="C166" i="32" l="1"/>
  <c r="J172" i="21" s="1"/>
  <c r="G170" i="21"/>
  <c r="C166" i="31"/>
  <c r="I172" i="21" s="1"/>
  <c r="I171" i="21"/>
  <c r="G171" i="21" s="1"/>
  <c r="C166" i="33"/>
  <c r="H172" i="21" s="1"/>
  <c r="G172" i="21" l="1"/>
</calcChain>
</file>

<file path=xl/sharedStrings.xml><?xml version="1.0" encoding="utf-8"?>
<sst xmlns="http://schemas.openxmlformats.org/spreadsheetml/2006/main" count="2169" uniqueCount="691">
  <si>
    <t>Concepto</t>
  </si>
  <si>
    <t>Ud.</t>
  </si>
  <si>
    <t>Cantidad</t>
  </si>
  <si>
    <t>Importe (€)</t>
  </si>
  <si>
    <t>kg</t>
  </si>
  <si>
    <t>m</t>
  </si>
  <si>
    <t>ud</t>
  </si>
  <si>
    <t>m3</t>
  </si>
  <si>
    <t>Subtotal</t>
  </si>
  <si>
    <t>I.V.A (21%)</t>
  </si>
  <si>
    <t>Peso</t>
  </si>
  <si>
    <t>Excavación</t>
  </si>
  <si>
    <t>Hormigonado</t>
  </si>
  <si>
    <t>Nº DE ORDEN</t>
  </si>
  <si>
    <t>DESCRIPCION</t>
  </si>
  <si>
    <t>HORAS - HOMBRE – MES</t>
  </si>
  <si>
    <t>PRECIO UNIDAD</t>
  </si>
  <si>
    <t>COSTE (€)</t>
  </si>
  <si>
    <t>Reuniones de seguridad</t>
  </si>
  <si>
    <t>Formación</t>
  </si>
  <si>
    <t>Servicio médico</t>
  </si>
  <si>
    <t>Nº DE OPERARIOS</t>
  </si>
  <si>
    <t>Reconocimiento médico</t>
  </si>
  <si>
    <t>Protecciones colectivas</t>
  </si>
  <si>
    <t>DOTACION ANUAL OPERARIO</t>
  </si>
  <si>
    <t>PRECIO UNIDAD (€)</t>
  </si>
  <si>
    <t>Nº DE OPERARIOS PREVISTOS</t>
  </si>
  <si>
    <t>Barandillas</t>
  </si>
  <si>
    <t>Cintas de balizamiento</t>
  </si>
  <si>
    <t>Vallas metálicas</t>
  </si>
  <si>
    <t>Andamios</t>
  </si>
  <si>
    <t>Chapa protección huecos</t>
  </si>
  <si>
    <t>Escaleras de mano</t>
  </si>
  <si>
    <t>Protección ferralla (setas plástico)</t>
  </si>
  <si>
    <t>Extintores portátiles</t>
  </si>
  <si>
    <t>Líneas de vida</t>
  </si>
  <si>
    <t>Protecciones individuales</t>
  </si>
  <si>
    <t>Casco seguridad</t>
  </si>
  <si>
    <t>Gafas contra impactos</t>
  </si>
  <si>
    <t>Gafas ambientes pulvígenos</t>
  </si>
  <si>
    <t>Gafas soldadura autógena</t>
  </si>
  <si>
    <t>Guantes de trabajo</t>
  </si>
  <si>
    <t>Guantes de goma</t>
  </si>
  <si>
    <t>Guantes aislantes</t>
  </si>
  <si>
    <t>Pantalla arco eléctrico</t>
  </si>
  <si>
    <t>Mascarilla ambientes pulvígenos</t>
  </si>
  <si>
    <t>Protecciones auditivas</t>
  </si>
  <si>
    <t>Manguitos soldador</t>
  </si>
  <si>
    <t>Mandil soldador</t>
  </si>
  <si>
    <t>Polainas soldador</t>
  </si>
  <si>
    <t>Cinturón banda ancha cuero</t>
  </si>
  <si>
    <t>Arnés seguridad</t>
  </si>
  <si>
    <t>Dispositivos anticaídas</t>
  </si>
  <si>
    <t>Botas de seguridad</t>
  </si>
  <si>
    <t>Botas de  goma</t>
  </si>
  <si>
    <t>Traje impermeable</t>
  </si>
  <si>
    <t>Chaleco reflectante</t>
  </si>
  <si>
    <t>Instalaciones de Higiene y Primeros Auxilios</t>
  </si>
  <si>
    <t>Mes alquiler caseta prefabricada oficina</t>
  </si>
  <si>
    <t>Mes alquiler caseta prefabricada aseos y vestuarios</t>
  </si>
  <si>
    <t>Botiquín sanitario de obra</t>
  </si>
  <si>
    <t>----</t>
  </si>
  <si>
    <t>Prevención y formación</t>
  </si>
  <si>
    <t>Estudio de Gestión de Residuos</t>
  </si>
  <si>
    <t>Días totales</t>
  </si>
  <si>
    <t>Nº trabajadores (máximo)</t>
  </si>
  <si>
    <t>Duración estimada (meses)</t>
  </si>
  <si>
    <t>Fracción estimada anual</t>
  </si>
  <si>
    <t>Los días totales se estiman del archivo Excel de planificación. 
Se estiman 3 cuadrillas de 10 trabajadores</t>
  </si>
  <si>
    <t xml:space="preserve">Prevención y formación </t>
  </si>
  <si>
    <t>FRACCIÓN ESTIMADA</t>
  </si>
  <si>
    <t>PRESUPUESTO DE EJECUCIÓN MATERIAL</t>
  </si>
  <si>
    <t>TOTAL: PRESUPUESTO DE EJECUCIÓN MATERIAL + I.V.A.</t>
  </si>
  <si>
    <t>Importe</t>
  </si>
  <si>
    <t>Precio Ud</t>
  </si>
  <si>
    <t>Asistencia técnica, inspecciones, informes…</t>
  </si>
  <si>
    <t>Cerramientos/vallas de obra</t>
  </si>
  <si>
    <t>Señalización zona de trabajo</t>
  </si>
  <si>
    <t>TOTAL CAPÍTULO 2.1.-</t>
  </si>
  <si>
    <t>TOTAL CAPÍTULO 2.2.-</t>
  </si>
  <si>
    <t>TOTAL CAPÍTULO 2.3.-</t>
  </si>
  <si>
    <t>CAPÍTULO 3. ESTUDIO DE GESTIÓN DE RESIDUOS</t>
  </si>
  <si>
    <t>CAPÍTULO 4. ESTUDIO DE SEGURIDAD Y SALUD</t>
  </si>
  <si>
    <t>Estudio de Seguridad y Salud</t>
  </si>
  <si>
    <t>TOTAL CAPÍTULO 1.1.-</t>
  </si>
  <si>
    <t>TOTAL CAPÍTULO 1.2.-</t>
  </si>
  <si>
    <t>TOTAL CAPÍTULO 1.3.-</t>
  </si>
  <si>
    <t>Caja de puesta a tierra 30 kV</t>
  </si>
  <si>
    <t>cajas puesta a tierra 30 kV</t>
  </si>
  <si>
    <t>cajas puesta a tierra 220 kV</t>
  </si>
  <si>
    <t>Caja de puesta a tierra 220 kV</t>
  </si>
  <si>
    <t>longitud zanja 30 kV</t>
  </si>
  <si>
    <t>longitud perforación 30 kV</t>
  </si>
  <si>
    <t>LINEA 30 KV SUBTERRANEA-1 CCTO</t>
  </si>
  <si>
    <t>LINEA 220  KV SUBTERRANEA-1 CCTO</t>
  </si>
  <si>
    <t>longitud zanja 220 kV</t>
  </si>
  <si>
    <t>longitud perforación 220 kV</t>
  </si>
  <si>
    <t>terminales 220 kV</t>
  </si>
  <si>
    <t>apoyos PAS</t>
  </si>
  <si>
    <t>autoválvulas 220 kV</t>
  </si>
  <si>
    <t>nº de cables FO</t>
  </si>
  <si>
    <t>nº de cables aislados 220 kV</t>
  </si>
  <si>
    <t>CE empalmes 30 kV</t>
  </si>
  <si>
    <t>Nº empalmes 30 kV</t>
  </si>
  <si>
    <t>longiud cable 220 kV entre terminales</t>
  </si>
  <si>
    <t>longiud cable 220 kV total</t>
  </si>
  <si>
    <t>CE empalmes 220 kV</t>
  </si>
  <si>
    <t>Nº empalmes 220 kV</t>
  </si>
  <si>
    <r>
      <t xml:space="preserve">Cable comunicaciones </t>
    </r>
    <r>
      <rPr>
        <sz val="9"/>
        <color theme="1"/>
        <rFont val="Calibri"/>
        <family val="2"/>
        <scheme val="minor"/>
      </rPr>
      <t>FO</t>
    </r>
    <r>
      <rPr>
        <sz val="10"/>
        <color rgb="FF000000"/>
        <rFont val="Calibri"/>
        <family val="2"/>
        <scheme val="minor"/>
      </rPr>
      <t xml:space="preserve"> ccto 30 kV</t>
    </r>
  </si>
  <si>
    <r>
      <t xml:space="preserve">Cable comunicaciones </t>
    </r>
    <r>
      <rPr>
        <sz val="9"/>
        <color theme="1"/>
        <rFont val="Calibri"/>
        <family val="2"/>
        <scheme val="minor"/>
      </rPr>
      <t>FO</t>
    </r>
    <r>
      <rPr>
        <sz val="10"/>
        <color rgb="FF000000"/>
        <rFont val="Calibri"/>
        <family val="2"/>
        <scheme val="minor"/>
      </rPr>
      <t xml:space="preserve"> ccto 220 kV</t>
    </r>
  </si>
  <si>
    <t>nº de cables FO ctto 220 kV</t>
  </si>
  <si>
    <t>Cámaras de empalmes 30 kV</t>
  </si>
  <si>
    <t>Cámaras de empalmes 220 kV</t>
  </si>
  <si>
    <t>Empalmes 30 kV</t>
  </si>
  <si>
    <t>Empalmes 220 kV</t>
  </si>
  <si>
    <t>Cajas empalme FO FO ccto 30 kV</t>
  </si>
  <si>
    <t>Cajas empalme FO FO ccto 220 kV</t>
  </si>
  <si>
    <t>Cajas empalmes FO 30 kV</t>
  </si>
  <si>
    <t>Cajas empalmes FO 220 kV</t>
  </si>
  <si>
    <t>Cable aislado 30 kV</t>
  </si>
  <si>
    <t>Cable aislado 220 kV</t>
  </si>
  <si>
    <t xml:space="preserve">Terminales 30 kV </t>
  </si>
  <si>
    <t xml:space="preserve">Terminales 220 kV </t>
  </si>
  <si>
    <t xml:space="preserve">Autoválvulas 220 kV </t>
  </si>
  <si>
    <t>Partida</t>
  </si>
  <si>
    <t>1.1.1</t>
  </si>
  <si>
    <t>1.1.2</t>
  </si>
  <si>
    <t>1.1.3</t>
  </si>
  <si>
    <t>1.1.4</t>
  </si>
  <si>
    <t>1.1.5</t>
  </si>
  <si>
    <t>1.1.6</t>
  </si>
  <si>
    <t>1.1.7</t>
  </si>
  <si>
    <t>1.1.8</t>
  </si>
  <si>
    <t>1.1.9</t>
  </si>
  <si>
    <t>1.1.10</t>
  </si>
  <si>
    <t>1.1.11</t>
  </si>
  <si>
    <t>1.1.12</t>
  </si>
  <si>
    <t>1.1.13</t>
  </si>
  <si>
    <t>1.1.14</t>
  </si>
  <si>
    <t>1.1.15</t>
  </si>
  <si>
    <t>1.1.16</t>
  </si>
  <si>
    <t>1.2.1</t>
  </si>
  <si>
    <t>1.2.2</t>
  </si>
  <si>
    <t>1.2.3</t>
  </si>
  <si>
    <t>1.2.4</t>
  </si>
  <si>
    <t>1.2.5</t>
  </si>
  <si>
    <t>1.2.6</t>
  </si>
  <si>
    <t>1.2.7</t>
  </si>
  <si>
    <t>1.2.8</t>
  </si>
  <si>
    <t>1.2.9</t>
  </si>
  <si>
    <t>1.2.10</t>
  </si>
  <si>
    <t>1.2.11</t>
  </si>
  <si>
    <t>1.2.12</t>
  </si>
  <si>
    <t>1.2.13</t>
  </si>
  <si>
    <t>1.2.14</t>
  </si>
  <si>
    <t>1.2.15</t>
  </si>
  <si>
    <t>1.2.16</t>
  </si>
  <si>
    <t>1.3.1</t>
  </si>
  <si>
    <t>1.3.2</t>
  </si>
  <si>
    <t>1.3.3</t>
  </si>
  <si>
    <t>1.3.4</t>
  </si>
  <si>
    <t>1.3.5</t>
  </si>
  <si>
    <t>Perforación horizontal ccto 30 kV</t>
  </si>
  <si>
    <t>Perforación horizontal ccto 220 kV</t>
  </si>
  <si>
    <t>Zanja 30 kV, inlcuyendo excavación, hormigonado, compactado, tubos y señalización.</t>
  </si>
  <si>
    <t>1.3.6</t>
  </si>
  <si>
    <t>CAPÍTULO 2. LÍNEA AÉREA</t>
  </si>
  <si>
    <t>2.1.1</t>
  </si>
  <si>
    <t>Apoyo metálico de celosia de acero galvanizados.</t>
  </si>
  <si>
    <t>Conductor tipo LA280 cctos 30 kV</t>
  </si>
  <si>
    <t>Conductor tipo LA280 cctos 220 kV</t>
  </si>
  <si>
    <t>Cable compuesto OPGW cctos 30 kV</t>
  </si>
  <si>
    <t>Conductor tipo LA510 cctos 220 kV</t>
  </si>
  <si>
    <t>Cable compuesto OPGW cctos 220 kV</t>
  </si>
  <si>
    <t>Aislador Composite ccto 220 kV DX LA280</t>
  </si>
  <si>
    <t>Aislador Composite ccto 30 kV DX LA280</t>
  </si>
  <si>
    <t>Aislador Composite ccto 220 kV TX LA510</t>
  </si>
  <si>
    <r>
      <t>Aislador Composite ccto 30 kV DX LA280</t>
    </r>
    <r>
      <rPr>
        <sz val="10"/>
        <color rgb="FFFF0000"/>
        <rFont val="Calibri"/>
        <family val="2"/>
        <scheme val="minor"/>
      </rPr>
      <t xml:space="preserve"> </t>
    </r>
    <r>
      <rPr>
        <b/>
        <sz val="10"/>
        <color rgb="FFFF0000"/>
        <rFont val="Calibri"/>
        <family val="2"/>
        <scheme val="minor"/>
      </rPr>
      <t>en apoyos compartidos 220 kV-ap06-08-14</t>
    </r>
  </si>
  <si>
    <r>
      <t>Cadena suspensión ccto 30 kV DX LA280</t>
    </r>
    <r>
      <rPr>
        <sz val="10"/>
        <color rgb="FFFF0000"/>
        <rFont val="Calibri"/>
        <family val="2"/>
        <scheme val="minor"/>
      </rPr>
      <t xml:space="preserve"> </t>
    </r>
    <r>
      <rPr>
        <b/>
        <sz val="10"/>
        <color rgb="FFFF0000"/>
        <rFont val="Calibri"/>
        <family val="2"/>
        <scheme val="minor"/>
      </rPr>
      <t>en apoyos compartidos 220 kV-ap06-08-14</t>
    </r>
  </si>
  <si>
    <t>Cadena suspensión ccto 30 kV DX LA280</t>
  </si>
  <si>
    <t>Cadena suspensióne ccto 220 kV DX LA280</t>
  </si>
  <si>
    <t>Cadena suspensión ccto 220 kV TX LA510</t>
  </si>
  <si>
    <t>Cadena amarre ccto 30 kV DX LA280</t>
  </si>
  <si>
    <r>
      <t>Cadena amarre ccto 30 kV DX LA280</t>
    </r>
    <r>
      <rPr>
        <sz val="10"/>
        <color rgb="FFFF0000"/>
        <rFont val="Calibri"/>
        <family val="2"/>
        <scheme val="minor"/>
      </rPr>
      <t xml:space="preserve"> </t>
    </r>
    <r>
      <rPr>
        <b/>
        <sz val="10"/>
        <color rgb="FFFF0000"/>
        <rFont val="Calibri"/>
        <family val="2"/>
        <scheme val="minor"/>
      </rPr>
      <t>en apoyos compartidos 220 kV-ap06-08-14</t>
    </r>
  </si>
  <si>
    <t>Cadena amarre ccto 220 kV DX LA280</t>
  </si>
  <si>
    <t>Cadena amarre ccto 220 kV TX LA510</t>
  </si>
  <si>
    <t>Cadena amarre OPGW ccto 30 kV DX LA280</t>
  </si>
  <si>
    <t>Cadena amarre OPGW ccto 220 kV DX LA280</t>
  </si>
  <si>
    <t>Cadena amarre OPGW ccto 220 kV TX LA510</t>
  </si>
  <si>
    <t>Cadena suspensión OPGW ccto 30 kV DX LA280</t>
  </si>
  <si>
    <t>Cadena suspensión OPGW ccto 220 kV DX LA280</t>
  </si>
  <si>
    <t>Cadena suspensión OPGW ccto 220 kV TX LA510</t>
  </si>
  <si>
    <t>2.1.2</t>
  </si>
  <si>
    <t>2.1.3</t>
  </si>
  <si>
    <t>2.1.4</t>
  </si>
  <si>
    <t>2.1.5</t>
  </si>
  <si>
    <t>2.1.6</t>
  </si>
  <si>
    <t>2.1.7</t>
  </si>
  <si>
    <t>2.1.8</t>
  </si>
  <si>
    <t>2.1.9</t>
  </si>
  <si>
    <t>2.1.10</t>
  </si>
  <si>
    <t>2.1.11</t>
  </si>
  <si>
    <t>2.1.12</t>
  </si>
  <si>
    <t>2.1.13</t>
  </si>
  <si>
    <t>2.1.14</t>
  </si>
  <si>
    <t>2.1.15</t>
  </si>
  <si>
    <t>2.1.16</t>
  </si>
  <si>
    <t>2.1.17</t>
  </si>
  <si>
    <t>2.1.18</t>
  </si>
  <si>
    <t>2.1.19</t>
  </si>
  <si>
    <t>2.1.20</t>
  </si>
  <si>
    <t>2.1.21</t>
  </si>
  <si>
    <t>2.1.22</t>
  </si>
  <si>
    <t>2.1.23</t>
  </si>
  <si>
    <t>2.1.24</t>
  </si>
  <si>
    <t>2.1.25</t>
  </si>
  <si>
    <t>2.1.26</t>
  </si>
  <si>
    <t>Placa Riesgo Eléctrico y señalización</t>
  </si>
  <si>
    <t>Salvapajaros OPGW ccto 30 kV</t>
  </si>
  <si>
    <t>Salvapajaros OPGW ccto 220 kV</t>
  </si>
  <si>
    <t>2.1.27</t>
  </si>
  <si>
    <t>PAT apoyo</t>
  </si>
  <si>
    <t>Hormigonado de la cimentación de apoyo con hormigón en masa HM-20. 
Incluye suministro y vertido de hormigón, confección de las peanas, aportación de encofrados normalizados, aportación y colocación del tubo para posterior salida del cable de puesta a tierra.</t>
  </si>
  <si>
    <t>2.3.1</t>
  </si>
  <si>
    <t>2.3.2</t>
  </si>
  <si>
    <t>2.3.3</t>
  </si>
  <si>
    <t>Ejecución de nuevos accesos a apoyos. Adecuación de accesos existentes y restitución de estos una vez acabado el montaje de los apoyos.</t>
  </si>
  <si>
    <t>CAPÍTULO 2.3 OBRA CIVIL LÍNEA AÉREA</t>
  </si>
  <si>
    <t>CAPÍTULO 2.2 MONTAJE  LÍNEA AÉREA</t>
  </si>
  <si>
    <t>CAPÍTULO 2.1 MATERIALES  LÍNEA AÉREA</t>
  </si>
  <si>
    <t>CAPÍTULO 1.3. OBRA CIVIL LÍNEA SUBTERRÁNEA</t>
  </si>
  <si>
    <t>CAPÍTULO 1.2. MONTAJE  LÍNEA SUBTERRÁNEA</t>
  </si>
  <si>
    <t>CAPÍTULO 1.1 MATERIALES  LÍNEA SUBTERRÁNEA</t>
  </si>
  <si>
    <t>CAPÍTULO 1. LÍNEA SUBTERRÁNEA</t>
  </si>
  <si>
    <t>TOTAL CAPÍTULO 1.- LINEA SUBTERRÁNEA</t>
  </si>
  <si>
    <t>TOTAL CAPÍTULO 2.- LÍNEA AÉREA</t>
  </si>
  <si>
    <t>3.1.1</t>
  </si>
  <si>
    <t>4.1.1</t>
  </si>
  <si>
    <t>TOTAL PRESUPUESTO</t>
  </si>
  <si>
    <t>GESTION DE RESIDUOS DE CONSTRUCCIÓN Y DEMOLICIÓN (RCD)</t>
  </si>
  <si>
    <t>Estimación de residuos en OBRA NUEVA:</t>
  </si>
  <si>
    <t>ZANJAS BT-MT-AT</t>
  </si>
  <si>
    <t xml:space="preserve">Para zanjas nuevas suponemos que un 20% de la tierra no se reutiliza en tapar la zanja, y que de éste 20% un 10% es de residuos Nivel II. </t>
  </si>
  <si>
    <t>Longitud de zanjas</t>
  </si>
  <si>
    <t>Ancho de zanjas</t>
  </si>
  <si>
    <t>Profundidad de zanjas</t>
  </si>
  <si>
    <t>Volumen total de zanjas</t>
  </si>
  <si>
    <t>m²</t>
  </si>
  <si>
    <t>Volumen total de residuos</t>
  </si>
  <si>
    <t>m³</t>
  </si>
  <si>
    <t>Volumen de tierras sobrantes</t>
  </si>
  <si>
    <t>Volumen de RCDs Nivel II</t>
  </si>
  <si>
    <t>CÁMARAS DE EMPALME</t>
  </si>
  <si>
    <t xml:space="preserve">Para arquetas suponemos que un 80% de la tierra no se reutiliza en tapar la zanja, y que de éste 80% un 10% es de residuos Nivel II. </t>
  </si>
  <si>
    <t>Numero de cámaras de empalme</t>
  </si>
  <si>
    <t>Longitud de la cámara de empalme</t>
  </si>
  <si>
    <t>Ancho de la cámara de empalme</t>
  </si>
  <si>
    <t>Profundidad de la cámara de empalme</t>
  </si>
  <si>
    <t>Volumen total de las cámaras de empalme</t>
  </si>
  <si>
    <t>APOYOS BT-MT-AT</t>
  </si>
  <si>
    <t xml:space="preserve">En apoyos suponemos que el 90% de las tierras no se reutilizan y que de éste 90% un 10% es de residuos Nivel II. </t>
  </si>
  <si>
    <t xml:space="preserve">Volumen total cimentación apoyos </t>
  </si>
  <si>
    <t>NUEVOS CDs</t>
  </si>
  <si>
    <t xml:space="preserve">En nuevos CDs suponemos que el 90% de las tierras no se reutilizan y que de éste 90% un 10% es de residuos Nivel II. </t>
  </si>
  <si>
    <t>Longitud de excavación</t>
  </si>
  <si>
    <t>Ancho de excavación</t>
  </si>
  <si>
    <t>Profundidad de excavación</t>
  </si>
  <si>
    <t>Volumen total de excavación</t>
  </si>
  <si>
    <t>REFORMA CDs</t>
  </si>
  <si>
    <t>En reformas de CDs estimamos el volumen total de residuos directamente, según m3 de escombros</t>
  </si>
  <si>
    <t>TOPOS/PHD</t>
  </si>
  <si>
    <t xml:space="preserve">Para los pozos de arranque suponemos que un 30% de la tierra de los pozos no se reutiliza, y que de éste 30% un 10% es de residuos Nivel II. Para la perforación dirigida suponemos que un 100% de la tierra de los pozos no se reutiliza, y que de éste 100% un 10% es de residuos Nivel II. </t>
  </si>
  <si>
    <t>Longitud de pozos</t>
  </si>
  <si>
    <t>Ancho de pozos</t>
  </si>
  <si>
    <t>Profundidad de pozos</t>
  </si>
  <si>
    <t>Volumen total de pozos</t>
  </si>
  <si>
    <t>Longitud del topo</t>
  </si>
  <si>
    <t>Diámetro del topo</t>
  </si>
  <si>
    <t>Volumen total del topo</t>
  </si>
  <si>
    <t>DEMOLICION DE TABIQUES</t>
  </si>
  <si>
    <t>Estimamos el volumen total de residuos directamente, según m3 de escombros (100% RCDs Nivel II)</t>
  </si>
  <si>
    <t>Estimación de residuos Total:</t>
  </si>
  <si>
    <t>Volumen total de resíduos Nivel II</t>
  </si>
  <si>
    <t>Densidad tipo (entre 0,5 y 1,5 T/m³)</t>
  </si>
  <si>
    <t>Tm/m³</t>
  </si>
  <si>
    <t>Toneladas de residuos Nivel II</t>
  </si>
  <si>
    <t>Tm</t>
  </si>
  <si>
    <t>Volumen de tierras sobrantes Nivel I</t>
  </si>
  <si>
    <t>Presupuesto estimado de la obra</t>
  </si>
  <si>
    <t>€</t>
  </si>
  <si>
    <t>Presupuesto de movimiento de tierras en proyecto</t>
  </si>
  <si>
    <t>A.1.: RCDs Nivel I</t>
  </si>
  <si>
    <t>d</t>
  </si>
  <si>
    <t>V</t>
  </si>
  <si>
    <t>Evaluación teórica del peso por tipología de RDC</t>
  </si>
  <si>
    <t>Toneladas de RDC</t>
  </si>
  <si>
    <t>Densidad tipo            (entre 1,5 y 0,5)</t>
  </si>
  <si>
    <t>m³ Volumen de Tierras</t>
  </si>
  <si>
    <t>1. TIERRAS Y PÉTREOS DE LA EXCAVACIÓN</t>
  </si>
  <si>
    <t>Tierras y pétreos procedentes de la excavación estimados directamente desde los datos de proyecto</t>
  </si>
  <si>
    <t>A.2.: RCDs Nivel II</t>
  </si>
  <si>
    <t>%</t>
  </si>
  <si>
    <t>% de peso</t>
  </si>
  <si>
    <t>Toneladas de cada tipo de RDC</t>
  </si>
  <si>
    <t>m³ Volumen de Residuos</t>
  </si>
  <si>
    <t>RCD: Naturaleza no pétrea</t>
  </si>
  <si>
    <t>1. Asfalto</t>
  </si>
  <si>
    <t>2. Madera</t>
  </si>
  <si>
    <t>3. Metales</t>
  </si>
  <si>
    <t>4. Papel</t>
  </si>
  <si>
    <t>5. Plástico</t>
  </si>
  <si>
    <t>6. Vidrio</t>
  </si>
  <si>
    <t>7. Yeso</t>
  </si>
  <si>
    <t xml:space="preserve">TOTAL estimación </t>
  </si>
  <si>
    <t>RCD: Naturaleza pétrea</t>
  </si>
  <si>
    <t>1. Arena Grava y otros áridos</t>
  </si>
  <si>
    <t>2. Hormigón</t>
  </si>
  <si>
    <t>3. Ladrillos , azulejos y otros cerámicos</t>
  </si>
  <si>
    <t>4. Piedra</t>
  </si>
  <si>
    <t>RCD: Potencialmente peligrosos y otros</t>
  </si>
  <si>
    <t>1. Basuras</t>
  </si>
  <si>
    <t>2. Potencialmente peligrosos y otros</t>
  </si>
  <si>
    <t>1. TIERRAS Y PÉTROS DE LA EXCAVACIÓN</t>
  </si>
  <si>
    <t>Tratamiento</t>
  </si>
  <si>
    <t>Destino</t>
  </si>
  <si>
    <t>Porcentajes estimados</t>
  </si>
  <si>
    <t>x</t>
  </si>
  <si>
    <t>17 05 04</t>
  </si>
  <si>
    <t>Tierras y piedras distintas de las especificadas en el código 17 05 03</t>
  </si>
  <si>
    <t>Sin tratamiento esp.</t>
  </si>
  <si>
    <t>Restauración / Vertedero</t>
  </si>
  <si>
    <t>Diferencia tipo RCD</t>
  </si>
  <si>
    <t>17 05 06</t>
  </si>
  <si>
    <t>Lodos de drenaje distintos de los especificados en el código 17 05 06</t>
  </si>
  <si>
    <t>17 05 08</t>
  </si>
  <si>
    <t>Balasto de vías férreas distinto del especificado en el código 17 05 07</t>
  </si>
  <si>
    <t>17 03 02</t>
  </si>
  <si>
    <t>Mezclas bituminosas distintas a las del código 17 03 01</t>
  </si>
  <si>
    <t>Reciclado</t>
  </si>
  <si>
    <t>Planta de reciclaje RCD</t>
  </si>
  <si>
    <t>Total tipo RCD</t>
  </si>
  <si>
    <t xml:space="preserve">17 02 01 </t>
  </si>
  <si>
    <t>Madera</t>
  </si>
  <si>
    <t>Gestor autorizado RNPs</t>
  </si>
  <si>
    <t>17 04 01</t>
  </si>
  <si>
    <t>Cobre, bronce, latón</t>
  </si>
  <si>
    <t>17 04 02</t>
  </si>
  <si>
    <t>Aluminio</t>
  </si>
  <si>
    <t>17 04 03</t>
  </si>
  <si>
    <t>Plomo</t>
  </si>
  <si>
    <t>17 04 04</t>
  </si>
  <si>
    <t>Zinc</t>
  </si>
  <si>
    <t>17 04 05</t>
  </si>
  <si>
    <t>Hierro y Acero</t>
  </si>
  <si>
    <t>17 04 06</t>
  </si>
  <si>
    <t>Estaño</t>
  </si>
  <si>
    <t>Metales mezclados</t>
  </si>
  <si>
    <t>17 04 11</t>
  </si>
  <si>
    <t>Cables distintos de los especificados en el código 17 04 10</t>
  </si>
  <si>
    <t>20 01 01</t>
  </si>
  <si>
    <t>Papel</t>
  </si>
  <si>
    <t>17 02 03</t>
  </si>
  <si>
    <t>Plástico</t>
  </si>
  <si>
    <t>17 02 02</t>
  </si>
  <si>
    <t>Vidrio</t>
  </si>
  <si>
    <t>17 08 02</t>
  </si>
  <si>
    <t>Materiales de construcción a partir de yeso distintos a los del código 17 08 01</t>
  </si>
  <si>
    <t>01 04 08</t>
  </si>
  <si>
    <t>Residuos de grava y rocas trituradas distintos de los mencionados en el código 01 04 07</t>
  </si>
  <si>
    <t>01 04 09</t>
  </si>
  <si>
    <t>Residuos de arena y arcilla</t>
  </si>
  <si>
    <t>17 01 01</t>
  </si>
  <si>
    <t>Hormigón</t>
  </si>
  <si>
    <t>Reciclado / Vertedero</t>
  </si>
  <si>
    <t>17 01 02</t>
  </si>
  <si>
    <t>Ladrillos</t>
  </si>
  <si>
    <t>17 01 03</t>
  </si>
  <si>
    <t>Tejas y materiales cerámicos</t>
  </si>
  <si>
    <t>17 01 07</t>
  </si>
  <si>
    <t>Mezclas de hormigón, ladrillos, tejas y materiales cerámicos distintas de las especificadas en el código 1 7 01 06.</t>
  </si>
  <si>
    <t>17 09 04</t>
  </si>
  <si>
    <t>RDCs mezclados distintos a los de los códigos 17 09 01, 02 y 03</t>
  </si>
  <si>
    <t>20 02 01</t>
  </si>
  <si>
    <t>Residuos biodegradables</t>
  </si>
  <si>
    <t>Planta de reciclaje RSU</t>
  </si>
  <si>
    <t>20 03 01</t>
  </si>
  <si>
    <t>Mezcla de residuos municipales</t>
  </si>
  <si>
    <t>17 01 06</t>
  </si>
  <si>
    <t>mezcal de hormigón, ladrillos, tejas y materilaes cerámicos con sustancias peligrosas (SP's)</t>
  </si>
  <si>
    <t>Depósito Seguridad</t>
  </si>
  <si>
    <t>Gestor autorizado RPs</t>
  </si>
  <si>
    <t>17 02 04</t>
  </si>
  <si>
    <t>Madera, vidrio o plastico con sustancias peligrosas o contaminadas por ellas</t>
  </si>
  <si>
    <t>Tratamiento Fco-Qco</t>
  </si>
  <si>
    <t>17 03 01</t>
  </si>
  <si>
    <t>Mezclas bituminosas que contienen alquitran de hulla</t>
  </si>
  <si>
    <t>Depósito / Tratamiento</t>
  </si>
  <si>
    <t>17 03 03</t>
  </si>
  <si>
    <t>Alquitrán de hulla y productos alquitranados</t>
  </si>
  <si>
    <t>17 04 09</t>
  </si>
  <si>
    <t>Residuos metálicos contaminados con sustancias peligrosas</t>
  </si>
  <si>
    <t>17 04 10</t>
  </si>
  <si>
    <t>Cables que contienen hidrocarburos, alquitran de hulla y otras SP's</t>
  </si>
  <si>
    <t>17 06 01</t>
  </si>
  <si>
    <t>Materiales de aislamiento que contienen Amianto</t>
  </si>
  <si>
    <t>17 06 03</t>
  </si>
  <si>
    <t>Otros materiales de aislamiento que contienen sustancias peligrosas</t>
  </si>
  <si>
    <t>17 06 05</t>
  </si>
  <si>
    <t>Materiales de construcción que contienen Amianto</t>
  </si>
  <si>
    <t>17 08 01</t>
  </si>
  <si>
    <t>Materiales de construcción a partir de yeso contaminados con SP's</t>
  </si>
  <si>
    <t>17 09 01</t>
  </si>
  <si>
    <t>Residuos de construcción y demolición que contienen mercúrio</t>
  </si>
  <si>
    <t>17 09 02</t>
  </si>
  <si>
    <t>Residuos de construcción y demolición que contienen PCB's</t>
  </si>
  <si>
    <t>17 09 03</t>
  </si>
  <si>
    <t>Otros residuos de construcción y demolición que contienen SP's</t>
  </si>
  <si>
    <t>17 06 04</t>
  </si>
  <si>
    <t>Materiales de aislamientos distintos de los 17 06 01 y 03</t>
  </si>
  <si>
    <t>17 05 03</t>
  </si>
  <si>
    <t>Tierras y piedras que contienen SP's</t>
  </si>
  <si>
    <t>17 05 05</t>
  </si>
  <si>
    <t>Lodos de drenaje que contienen sustancias peligrosas</t>
  </si>
  <si>
    <t>17 05 07</t>
  </si>
  <si>
    <t>Balastro de vías férreas que contienen sustancias peligrosas</t>
  </si>
  <si>
    <t>15 02 02</t>
  </si>
  <si>
    <t>Absorventes contaminados (trapos,…)</t>
  </si>
  <si>
    <t>13 02 05</t>
  </si>
  <si>
    <t>Aceites usados (minerales no clorados de motor,…)</t>
  </si>
  <si>
    <t>16 01 07</t>
  </si>
  <si>
    <t>Filtros de aceite</t>
  </si>
  <si>
    <t>20 01 21</t>
  </si>
  <si>
    <t>Tubos fluorescentes</t>
  </si>
  <si>
    <t>16 06 04</t>
  </si>
  <si>
    <t>Pilas alcalinas y salinas</t>
  </si>
  <si>
    <t>16 06 03</t>
  </si>
  <si>
    <t>Pilas botón</t>
  </si>
  <si>
    <t>15 01 10</t>
  </si>
  <si>
    <t>Envases vacíos de metal o plastico contaminado</t>
  </si>
  <si>
    <t>08 01 11</t>
  </si>
  <si>
    <t>Sobrantes de pintura o barnices</t>
  </si>
  <si>
    <t>14 06 03</t>
  </si>
  <si>
    <t>Sobrantes de disolventes no halogenados</t>
  </si>
  <si>
    <t>07 07 01</t>
  </si>
  <si>
    <t>Sobrantes de desencofrantes</t>
  </si>
  <si>
    <t>15 01 11</t>
  </si>
  <si>
    <t>Aerosoles vacios</t>
  </si>
  <si>
    <t>16 06 01</t>
  </si>
  <si>
    <t>Baterías de plomo</t>
  </si>
  <si>
    <t>13 07 03</t>
  </si>
  <si>
    <t>Hidrocarburos con agua</t>
  </si>
  <si>
    <t>RDCs mezclados distintos códigos 17 09 01, 02 y 03</t>
  </si>
  <si>
    <t>A.- ESTIMACIÓN DEL COSTE DE TRATAMIENTO DE LOS RCDs</t>
  </si>
  <si>
    <t>Tipología RCDs</t>
  </si>
  <si>
    <t>Estimación (m³)</t>
  </si>
  <si>
    <t>Importe mínimo(€)</t>
  </si>
  <si>
    <t>% del presupuesto de Obra</t>
  </si>
  <si>
    <t>A1 RCDs Nivel I</t>
  </si>
  <si>
    <t>Tierras y pétreos de la excavación</t>
  </si>
  <si>
    <t>A2 RCDs Nivel II</t>
  </si>
  <si>
    <t>RCDs Naturaleza Pétrea</t>
  </si>
  <si>
    <t>RCDs Naturaleza No Pétrea (metales)</t>
  </si>
  <si>
    <t>RCDs Naturaleza No Pétrea (resto)</t>
  </si>
  <si>
    <t>RCDs Potencialmente peligrosos</t>
  </si>
  <si>
    <t xml:space="preserve">B.- RESTO DE COSTES DE GESTIÓN </t>
  </si>
  <si>
    <t>B1.- % Presupuesto hasta cubrir RCD Nivel I</t>
  </si>
  <si>
    <t>B2.- % Presupuesto hasta cubrir RCD Nivel II</t>
  </si>
  <si>
    <t>B3.- % Presupuesto de Obra  por costes de gestión, alquileres, etc…</t>
  </si>
  <si>
    <t>TOTAL PRESUPUESTO PLAN GESTION RCDs</t>
  </si>
  <si>
    <t>PUNTO/NUMERO APOYO</t>
  </si>
  <si>
    <t>TRAMO DE LÍNEA</t>
  </si>
  <si>
    <t>TIPO APOYO</t>
  </si>
  <si>
    <t>Tensión Línea</t>
  </si>
  <si>
    <t>ALTURA CRUCETA INFERIOR (m)</t>
  </si>
  <si>
    <t>ALTURA TOTAL DEL APOYO (m)</t>
  </si>
  <si>
    <t>OCUPACIÓN PERMANENTE (m2)</t>
  </si>
  <si>
    <t>OCUPACIÓN TEMPORAL (m2)</t>
  </si>
  <si>
    <t>X U.T.M. ETRS89 HUSO 30</t>
  </si>
  <si>
    <t>Y U.T.M. ETRS89 HUSO 30</t>
  </si>
  <si>
    <t>Término municipal</t>
  </si>
  <si>
    <t>Provincia</t>
  </si>
  <si>
    <t>Comunidad autónoma</t>
  </si>
  <si>
    <t>FL</t>
  </si>
  <si>
    <t>30 kV</t>
  </si>
  <si>
    <t>SUS-AL</t>
  </si>
  <si>
    <t>ANC-ANG</t>
  </si>
  <si>
    <t>DATOS POR TIPO DE APOYO</t>
  </si>
  <si>
    <t>PROCESO</t>
  </si>
  <si>
    <t xml:space="preserve"> se añade la parte verde</t>
  </si>
  <si>
    <t>se obtienen los totales por TTMM</t>
  </si>
  <si>
    <t>PESO (Tn)</t>
  </si>
  <si>
    <t>Exv (m3)</t>
  </si>
  <si>
    <t>Hor (m3)</t>
  </si>
  <si>
    <t>TOTALES</t>
  </si>
  <si>
    <t>paso 1.- DISPONIBLE EN LA CARPETA DE #TABLAS DE CADA AP</t>
  </si>
  <si>
    <t>paso 2.- SE ASIGNA A CADA APOYO CON LA TABLA DE ARRIBA Y SE OBTIENENLSO TOTALES</t>
  </si>
  <si>
    <t>tmm 1</t>
  </si>
  <si>
    <t>ttmm2</t>
  </si>
  <si>
    <t>ttmm3</t>
  </si>
  <si>
    <t>paso 3.- REPARTO POR TTMM</t>
  </si>
  <si>
    <t>Se traen los datos de apoyos de la carpeta de tablas</t>
  </si>
  <si>
    <t>APOYOS</t>
  </si>
  <si>
    <t>TIPO DE APOYO</t>
  </si>
  <si>
    <t>FL-PAS</t>
  </si>
  <si>
    <t>TEST</t>
  </si>
  <si>
    <t>TRAMO</t>
  </si>
  <si>
    <t>ORIGEN</t>
  </si>
  <si>
    <t>FINAL</t>
  </si>
  <si>
    <t>TIPO</t>
  </si>
  <si>
    <t>Nº
CIRC</t>
  </si>
  <si>
    <t xml:space="preserve"> LONGITUD DEL TRAMO
(m)</t>
  </si>
  <si>
    <t>SUBTERRÁNEO</t>
  </si>
  <si>
    <t>LONGITUDES TOTALES (m)</t>
  </si>
  <si>
    <t>Se traen los datos LONGITUDES DE TRAMO Y TTMM de la carpeta de tablas</t>
  </si>
  <si>
    <t>Tn</t>
  </si>
  <si>
    <t>Aislador Composite ccto 30 kV DX LA280 en apoyos compartidos 220 kV-ap06-08-14</t>
  </si>
  <si>
    <t>Cadena suspensión ccto 30 kV DX LA280 en apoyos compartidos 220 kV-ap06-08-14</t>
  </si>
  <si>
    <t>Cadena amarre ccto 30 kV DX LA280 en apoyos compartidos 220 kV-ap06-08-14</t>
  </si>
  <si>
    <t>nº apoyos</t>
  </si>
  <si>
    <t>nº subcondcutores</t>
  </si>
  <si>
    <t>nº circuitos</t>
  </si>
  <si>
    <t>total cables del circuito</t>
  </si>
  <si>
    <t>% terminales</t>
  </si>
  <si>
    <t>peso cable (kg/m)</t>
  </si>
  <si>
    <t>la280</t>
  </si>
  <si>
    <t>opgw</t>
  </si>
  <si>
    <t>la510</t>
  </si>
  <si>
    <t>esta columna no puede estar vacia</t>
  </si>
  <si>
    <t>BASTON AISLADOR</t>
  </si>
  <si>
    <t>CADENA SUS</t>
  </si>
  <si>
    <t>CADENA AM</t>
  </si>
  <si>
    <t>CADENAS DE SUSPENSION</t>
  </si>
  <si>
    <t>CADENAS DE AMARRE</t>
  </si>
  <si>
    <t>BASTONES</t>
  </si>
  <si>
    <t>herrajes 30 kV por apoyo DX LA280</t>
  </si>
  <si>
    <t>herrajes 220 kV por apoyo DX LA280</t>
  </si>
  <si>
    <t>herrajes 220 kV por apoyo TX LA510</t>
  </si>
  <si>
    <t xml:space="preserve">MEDICION </t>
  </si>
  <si>
    <t>SOLO AP06-08-14</t>
  </si>
  <si>
    <t>Cadena suspensión ccto 220 kV DX LA280</t>
  </si>
  <si>
    <t>220 kV</t>
  </si>
  <si>
    <t>1.- ENTRADA DATOS VERDES</t>
  </si>
  <si>
    <t>2.- COPIAR EL PRESUPUESTO AL WORD</t>
  </si>
  <si>
    <t>TOTAL CAPÍTULO 3.-ESTUDIO DE GESTIÓN DE RESIDUOS</t>
  </si>
  <si>
    <t>TOTAL CAPÍTULO 4.-ESTUDIO DE SEGURIDAD Y SALUD</t>
  </si>
  <si>
    <t>nº de pozos</t>
  </si>
  <si>
    <t>2 pozos por cada perforacion</t>
  </si>
  <si>
    <t>revisad el listado de cruces en tramos subt</t>
  </si>
  <si>
    <t>esta tabla de copia y pega en la memoria</t>
  </si>
  <si>
    <t>Zanja 220 kV, inlcuyendo excavación, hormigonado, compactado, tubos y señalización.</t>
  </si>
  <si>
    <t>Pequeño material p.a.t pantallas</t>
  </si>
  <si>
    <t>2.1.28</t>
  </si>
  <si>
    <t>2.1.29</t>
  </si>
  <si>
    <t>2.1.30</t>
  </si>
  <si>
    <t>2.1.31</t>
  </si>
  <si>
    <t>Amortuiguador separador conductor tipo LA280 cctos 30 kV</t>
  </si>
  <si>
    <t>Amortuiguador separador conducto tipo LA280 cctos 220 kV</t>
  </si>
  <si>
    <t>2.1.32</t>
  </si>
  <si>
    <t>2.1.33</t>
  </si>
  <si>
    <t>Amortuiguador OPGW ccto 30 kV</t>
  </si>
  <si>
    <t>Amortuiguador OPGW ccto 220 kV</t>
  </si>
  <si>
    <t>2.1.34</t>
  </si>
  <si>
    <t>Conexión FO</t>
  </si>
  <si>
    <t>Excavación apoyos. Incluye explanación de terreno y retirada de tierras a vertedero autorizado.</t>
  </si>
  <si>
    <t>TTMM 1</t>
  </si>
  <si>
    <t>TTMM 2</t>
  </si>
  <si>
    <t>TTMM 3</t>
  </si>
  <si>
    <t>LONG EJE</t>
  </si>
  <si>
    <t>% LONG EJE</t>
  </si>
  <si>
    <t>Rellenar mediciones aéreas</t>
  </si>
  <si>
    <t>Rellenar mediciones subterráneas</t>
  </si>
  <si>
    <t>ajustar mediciones por TTMM</t>
  </si>
  <si>
    <t>chequear la suma tota por TTMM</t>
  </si>
  <si>
    <t>ajustar columna derecha de items y eliminar filas con valores cero</t>
  </si>
  <si>
    <t>¿seguro que está todo OK?</t>
  </si>
  <si>
    <t>hacer una copia de seguridad</t>
  </si>
  <si>
    <t xml:space="preserve">                    </t>
  </si>
  <si>
    <t>CABLE AÉREO Y HERRAJES</t>
  </si>
  <si>
    <t>1 hay, 0 no hay</t>
  </si>
  <si>
    <t>Conexión FO-1 PA SI HAY TRAMO AÉREO</t>
  </si>
  <si>
    <t>nº tramos subterraneos 30 Kv independientes</t>
  </si>
  <si>
    <t>nº tramos subterraneos 220 kV indep</t>
  </si>
  <si>
    <t>longiud cable FO CCTO 30 kV total</t>
  </si>
  <si>
    <t>longiud cable FO CCTO 220 kV total</t>
  </si>
  <si>
    <t>PEGAR VALOR</t>
  </si>
  <si>
    <t>LONG</t>
  </si>
  <si>
    <t>rellenar a mano las cedas verdes sin crear referencias circulares</t>
  </si>
  <si>
    <t>test</t>
  </si>
  <si>
    <t>ajustar enteros para que cuadre</t>
  </si>
  <si>
    <t>Amortuiguador separador conductor tipo LA510 cctos 220 kV</t>
  </si>
  <si>
    <t>se quita uno para cuadrar ddecimales</t>
  </si>
  <si>
    <t>entonces a preparar pot TTMM:</t>
  </si>
  <si>
    <t>Se copia la hoja tantas veces como ttmm hay</t>
  </si>
  <si>
    <t>Se borran las columnas de mediciones</t>
  </si>
  <si>
    <t>km</t>
  </si>
  <si>
    <t>€/km</t>
  </si>
  <si>
    <t>LONGITUD TOTAL TRAMO SUBTERRÁNEO 30 kV</t>
  </si>
  <si>
    <t>LONGITUD TOTAL TRAMO AÉREO 30 kV</t>
  </si>
  <si>
    <t>LONGITUDES TOTALES</t>
  </si>
  <si>
    <t>APXX-XXXX</t>
  </si>
  <si>
    <t>PRECIO UNITARIO TRAMO SUBTERRÁNEO 30 kV</t>
  </si>
  <si>
    <t>PRECIO UNITARIO TRAMO AÉREO 30 kV</t>
  </si>
  <si>
    <t>Cajas empalme FO ccto 30 kV</t>
  </si>
  <si>
    <t>Cajas empalme FO ccto 220 kV</t>
  </si>
  <si>
    <t>Amortiguador separador conductor tipo LA280 cctos 30 kV</t>
  </si>
  <si>
    <t>Amortiguador separador conducto tipo LA280 cctos 220 kV</t>
  </si>
  <si>
    <t>Amortiguador separador conductor tipo LA510 cctos 220 kV</t>
  </si>
  <si>
    <t>Amortiguador OPGW ccto 30 kV</t>
  </si>
  <si>
    <t>Amortiguador OPGW ccto 220 kV</t>
  </si>
  <si>
    <t>Salvapájaros OPGW ccto 30 kV</t>
  </si>
  <si>
    <t>Salvapájaros OPGW ccto 220 kV</t>
  </si>
  <si>
    <t>TOTAL PRESUPUESTO DE SEGURIDAD Y SALUD-</t>
  </si>
  <si>
    <t>Precio gestión en Planta / Vertedero / Cantera / Gestor     (€/m³)</t>
  </si>
  <si>
    <t>4 PHD</t>
  </si>
  <si>
    <t>E/KM</t>
  </si>
  <si>
    <t>Apoyo metálico de celosía de acero galvanizados.</t>
  </si>
  <si>
    <t xml:space="preserve"> LONGITUD EN EL TTMM DE ARRATZUA - UBARRUNDIA (Álava)</t>
  </si>
  <si>
    <t xml:space="preserve"> LONGITUD EN EL TTMM DE  ZIGOITIA (Álava)</t>
  </si>
  <si>
    <t>Cable aislado 30 kV/240 mm2</t>
  </si>
  <si>
    <t>nº de cables aislados 30 kV/240mm2</t>
  </si>
  <si>
    <t>nº de cables aislados 30 kV/630 mm2</t>
  </si>
  <si>
    <t>terminales 30 kV/240mm2</t>
  </si>
  <si>
    <t>terminales 30 kV/630mm2</t>
  </si>
  <si>
    <t>Cable aislado 30 kV/630 mm2</t>
  </si>
  <si>
    <t>longiud cable 30 kV total 240 mm2</t>
  </si>
  <si>
    <t>longiud cable 30 kV total 630 mm2</t>
  </si>
  <si>
    <t>LONGITUD TOTAL EJE TRAMO SUBTERRÁNEO 30 kV (m)</t>
  </si>
  <si>
    <t>longiud cable 30 kV entre terminales 630 mm2</t>
  </si>
  <si>
    <t>longiud cable 30 kV entre terminales 240 mm2</t>
  </si>
  <si>
    <t>Terminales 30 kV  240 mm2</t>
  </si>
  <si>
    <t>Terminales 30 kV  630 mm2</t>
  </si>
  <si>
    <t>Caja de puesta a tierra 220 kV intemperie con descargador</t>
  </si>
  <si>
    <t>Caja de puesta a tierra 220 kV intemperie</t>
  </si>
  <si>
    <t>3 y 3</t>
  </si>
  <si>
    <t>PO-1</t>
  </si>
  <si>
    <t>BIF-1</t>
  </si>
  <si>
    <t>PO-2</t>
  </si>
  <si>
    <t>PF/ SE XXX</t>
  </si>
  <si>
    <t>L1</t>
  </si>
  <si>
    <t>L2</t>
  </si>
  <si>
    <t>LT</t>
  </si>
  <si>
    <t>X UTM ETRS89 HUSO31</t>
  </si>
  <si>
    <t>Y UTM ETRS89 HUSO31</t>
  </si>
  <si>
    <t>PO/SE XXX</t>
  </si>
  <si>
    <t>PF/SE SONREUS</t>
  </si>
  <si>
    <t>ORIGEN X ETRS89 HUSO 30</t>
  </si>
  <si>
    <t>ORIGEN Y ETRS89 HUSO 30</t>
  </si>
  <si>
    <t>TTMM</t>
  </si>
  <si>
    <t>PROVINCIA</t>
  </si>
  <si>
    <t>COMUNIDAD</t>
  </si>
  <si>
    <t>PALMA</t>
  </si>
  <si>
    <t>MALLORCA</t>
  </si>
  <si>
    <t>ISLAS BALEARES</t>
  </si>
  <si>
    <t>Núm.</t>
  </si>
  <si>
    <t>Denominación</t>
  </si>
  <si>
    <t>Organismo</t>
  </si>
  <si>
    <t>CR-01</t>
  </si>
  <si>
    <t>PA-01</t>
  </si>
  <si>
    <t>Paralelismo Nº</t>
  </si>
  <si>
    <t>X U,T,M, ETRS89 HUSO 30</t>
  </si>
  <si>
    <t>Y U,T,M, ETRS89 HUSO 30</t>
  </si>
  <si>
    <t>PUNTO INICIAL-FINAL</t>
  </si>
  <si>
    <t>PA-01 PI</t>
  </si>
  <si>
    <t>CR-02</t>
  </si>
  <si>
    <t>Carretera Ma-2031</t>
  </si>
  <si>
    <t>Tubería distribución agua</t>
  </si>
  <si>
    <t>Palma</t>
  </si>
  <si>
    <t>Cauce</t>
  </si>
  <si>
    <t>Línea eléctrica</t>
  </si>
  <si>
    <t>CR-03</t>
  </si>
  <si>
    <t>CR-04</t>
  </si>
  <si>
    <t>CR-05</t>
  </si>
  <si>
    <t>CR-06</t>
  </si>
  <si>
    <t>CR-07</t>
  </si>
  <si>
    <t>Gasoducto</t>
  </si>
  <si>
    <t>Camí Son Reus</t>
  </si>
  <si>
    <t xml:space="preserve">Marratxi </t>
  </si>
  <si>
    <t>Mallorca</t>
  </si>
  <si>
    <t>CR-08</t>
  </si>
  <si>
    <t>CR-09</t>
  </si>
  <si>
    <t>CR-10</t>
  </si>
  <si>
    <t>REDEIA</t>
  </si>
  <si>
    <t>Línea eléctrica aérea</t>
  </si>
  <si>
    <t>PA-02</t>
  </si>
  <si>
    <t>Redexis Gas Transporte, S.L.</t>
  </si>
  <si>
    <t>PA-02 PF</t>
  </si>
  <si>
    <t>PA-03</t>
  </si>
  <si>
    <t>Gasoducto ramal 1
Gasoducto ramal 2</t>
  </si>
  <si>
    <t>Gasoducto ramal 2
Gasoducto ramal 3</t>
  </si>
  <si>
    <t>PA-04</t>
  </si>
  <si>
    <t>PA-04 PF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</si>
</sst>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0.00\ &quot;€&quot;;[Red]\-#,##0.00\ &quot;€&quot;"/>
    <numFmt numFmtId="43" formatCode="_-* #,##0.00_-;\-* #,##0.00_-;_-* &quot;-&quot;??_-;_-@_-"/>
    <numFmt numFmtId="164" formatCode="#,##0.0\ &quot;reuniones&quot;"/>
    <numFmt numFmtId="165" formatCode="0.000"/>
    <numFmt numFmtId="166" formatCode="0.0000&quot;%&quot;"/>
    <numFmt numFmtId="167" formatCode="#,##0.0000"/>
  </numFmts>
  <fonts count="59" x14ac:knownFonts="1">
    <font>
      <sz val="11"/>
      <color theme="1"/>
      <name val="Calibri"/>
      <family val="2"/>
      <scheme val="minor"/>
    </font>
    <font>
      <sz val="10"/>
      <color rgb="FF000000"/>
      <name val="Calibri"/>
      <family val="2"/>
      <scheme val="minor"/>
    </font>
    <font>
      <b/>
      <sz val="10"/>
      <color rgb="FF000000"/>
      <name val="Calibri"/>
      <family val="2"/>
      <scheme val="minor"/>
    </font>
    <font>
      <b/>
      <sz val="11"/>
      <color theme="1"/>
      <name val="Calibri"/>
      <family val="2"/>
      <scheme val="minor"/>
    </font>
    <font>
      <sz val="12"/>
      <color rgb="FF000000"/>
      <name val="Calibri"/>
      <family val="2"/>
      <scheme val="minor"/>
    </font>
    <font>
      <sz val="12"/>
      <color theme="1"/>
      <name val="Calibri"/>
      <family val="2"/>
      <scheme val="minor"/>
    </font>
    <font>
      <sz val="10"/>
      <color theme="1"/>
      <name val="Arial"/>
      <family val="2"/>
    </font>
    <font>
      <b/>
      <sz val="10"/>
      <color theme="1"/>
      <name val="Calibri"/>
      <family val="2"/>
      <scheme val="minor"/>
    </font>
    <font>
      <sz val="10"/>
      <color theme="1"/>
      <name val="Calibri"/>
      <family val="2"/>
      <scheme val="minor"/>
    </font>
    <font>
      <sz val="11"/>
      <color rgb="FFFF0000"/>
      <name val="Calibri"/>
      <family val="2"/>
      <scheme val="minor"/>
    </font>
    <font>
      <sz val="10"/>
      <color rgb="FFFF0000"/>
      <name val="Calibri"/>
      <family val="2"/>
      <scheme val="minor"/>
    </font>
    <font>
      <sz val="9"/>
      <color theme="1"/>
      <name val="Calibri"/>
      <family val="2"/>
      <scheme val="minor"/>
    </font>
    <font>
      <sz val="8"/>
      <name val="Calibri"/>
      <family val="2"/>
      <scheme val="minor"/>
    </font>
    <font>
      <b/>
      <sz val="11"/>
      <color rgb="FFFF0000"/>
      <name val="Calibri"/>
      <family val="2"/>
      <scheme val="minor"/>
    </font>
    <font>
      <b/>
      <sz val="10"/>
      <color rgb="FFFF0000"/>
      <name val="Calibri"/>
      <family val="2"/>
      <scheme val="minor"/>
    </font>
    <font>
      <sz val="10"/>
      <name val="Arial"/>
      <family val="2"/>
    </font>
    <font>
      <sz val="10"/>
      <name val="Arial"/>
      <family val="2"/>
    </font>
    <font>
      <b/>
      <sz val="10"/>
      <name val="Arial"/>
      <family val="2"/>
    </font>
    <font>
      <sz val="14"/>
      <name val="Arial"/>
      <family val="2"/>
    </font>
    <font>
      <sz val="9"/>
      <name val="Arial"/>
      <family val="2"/>
    </font>
    <font>
      <b/>
      <sz val="9"/>
      <name val="Arial"/>
      <family val="2"/>
    </font>
    <font>
      <sz val="9"/>
      <color indexed="8"/>
      <name val="Arial"/>
      <family val="2"/>
    </font>
    <font>
      <sz val="10"/>
      <color indexed="9"/>
      <name val="Arial"/>
      <family val="2"/>
    </font>
    <font>
      <sz val="9"/>
      <name val="Calibri"/>
      <family val="2"/>
      <scheme val="minor"/>
    </font>
    <font>
      <b/>
      <sz val="9"/>
      <name val="Calibri"/>
      <family val="2"/>
      <scheme val="minor"/>
    </font>
    <font>
      <sz val="8"/>
      <name val="Arial"/>
      <family val="2"/>
    </font>
    <font>
      <b/>
      <sz val="8"/>
      <color rgb="FF000000"/>
      <name val="Calibri"/>
      <family val="2"/>
      <scheme val="minor"/>
    </font>
    <font>
      <sz val="8"/>
      <color rgb="FF000000"/>
      <name val="Calibri"/>
      <family val="2"/>
      <scheme val="minor"/>
    </font>
    <font>
      <b/>
      <sz val="18"/>
      <color rgb="FFFF0000"/>
      <name val="Calibri"/>
      <family val="2"/>
      <scheme val="minor"/>
    </font>
    <font>
      <b/>
      <sz val="8"/>
      <color rgb="FFFF000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name val="Calibri"/>
      <family val="2"/>
      <scheme val="minor"/>
    </font>
    <font>
      <b/>
      <sz val="8"/>
      <name val="Calibri"/>
      <family val="2"/>
      <scheme val="minor"/>
    </font>
    <font>
      <sz val="10"/>
      <color rgb="FFFF0000"/>
      <name val="Arial"/>
      <family val="2"/>
    </font>
    <font>
      <sz val="10"/>
      <color rgb="FF00B050"/>
      <name val="Arial"/>
      <family val="2"/>
    </font>
    <font>
      <b/>
      <sz val="11"/>
      <color rgb="FF000000"/>
      <name val="Calibri"/>
      <family val="2"/>
      <scheme val="minor"/>
    </font>
    <font>
      <sz val="11"/>
      <color rgb="FF000000"/>
      <name val="Calibri"/>
      <family val="2"/>
      <scheme val="minor"/>
    </font>
    <font>
      <b/>
      <sz val="10"/>
      <color rgb="FFFF0000"/>
      <name val="Arial"/>
      <family val="2"/>
    </font>
    <font>
      <sz val="11"/>
      <color rgb="FFFFFF00"/>
      <name val="Calibri"/>
      <family val="2"/>
      <scheme val="minor"/>
    </font>
    <font>
      <sz val="10"/>
      <name val="Calibri"/>
      <family val="2"/>
      <scheme val="minor"/>
    </font>
    <font>
      <sz val="10"/>
      <color theme="8" tint="-0.249977111117893"/>
      <name val="Calibri"/>
      <family val="2"/>
      <scheme val="minor"/>
    </font>
    <font>
      <sz val="24"/>
      <color theme="1"/>
      <name val="Calibri"/>
      <family val="2"/>
      <scheme val="minor"/>
    </font>
    <font>
      <b/>
      <sz val="16"/>
      <color theme="8" tint="-0.249977111117893"/>
      <name val="Calibri"/>
      <family val="2"/>
      <scheme val="minor"/>
    </font>
    <font>
      <b/>
      <sz val="9"/>
      <color rgb="FF000000"/>
      <name val="Calibri"/>
      <family val="2"/>
      <scheme val="minor"/>
    </font>
    <font>
      <sz val="9"/>
      <color rgb="FF000000"/>
      <name val="Calibri"/>
      <family val="2"/>
      <scheme val="minor"/>
    </font>
  </fonts>
  <fills count="45">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22"/>
        <bgColor indexed="64"/>
      </patternFill>
    </fill>
    <fill>
      <patternFill patternType="solid">
        <fgColor indexed="4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99CC"/>
        <bgColor indexed="64"/>
      </patternFill>
    </fill>
    <fill>
      <patternFill patternType="solid">
        <fgColor rgb="FF002060"/>
        <bgColor indexed="64"/>
      </patternFill>
    </fill>
    <fill>
      <patternFill patternType="solid">
        <fgColor theme="5" tint="0.59999389629810485"/>
        <bgColor indexed="64"/>
      </patternFill>
    </fill>
    <fill>
      <patternFill patternType="solid">
        <fgColor rgb="FFFFC000"/>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rgb="FF000000"/>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15" fillId="0" borderId="0"/>
    <xf numFmtId="0" fontId="31" fillId="0" borderId="0" applyNumberFormat="0" applyFill="0" applyBorder="0" applyAlignment="0" applyProtection="0"/>
    <xf numFmtId="0" fontId="32" fillId="0" borderId="50" applyNumberFormat="0" applyFill="0" applyAlignment="0" applyProtection="0"/>
    <xf numFmtId="0" fontId="33" fillId="0" borderId="51" applyNumberFormat="0" applyFill="0" applyAlignment="0" applyProtection="0"/>
    <xf numFmtId="0" fontId="34" fillId="0" borderId="52" applyNumberFormat="0" applyFill="0" applyAlignment="0" applyProtection="0"/>
    <xf numFmtId="0" fontId="34" fillId="0" borderId="0" applyNumberFormat="0" applyFill="0" applyBorder="0" applyAlignment="0" applyProtection="0"/>
    <xf numFmtId="0" fontId="35" fillId="10" borderId="0" applyNumberFormat="0" applyBorder="0" applyAlignment="0" applyProtection="0"/>
    <xf numFmtId="0" fontId="36" fillId="11" borderId="0" applyNumberFormat="0" applyBorder="0" applyAlignment="0" applyProtection="0"/>
    <xf numFmtId="0" fontId="37" fillId="12" borderId="0" applyNumberFormat="0" applyBorder="0" applyAlignment="0" applyProtection="0"/>
    <xf numFmtId="0" fontId="38" fillId="13" borderId="53" applyNumberFormat="0" applyAlignment="0" applyProtection="0"/>
    <xf numFmtId="0" fontId="39" fillId="14" borderId="54" applyNumberFormat="0" applyAlignment="0" applyProtection="0"/>
    <xf numFmtId="0" fontId="40" fillId="14" borderId="53" applyNumberFormat="0" applyAlignment="0" applyProtection="0"/>
    <xf numFmtId="0" fontId="41" fillId="0" borderId="55" applyNumberFormat="0" applyFill="0" applyAlignment="0" applyProtection="0"/>
    <xf numFmtId="0" fontId="42" fillId="15" borderId="56" applyNumberFormat="0" applyAlignment="0" applyProtection="0"/>
    <xf numFmtId="0" fontId="9" fillId="0" borderId="0" applyNumberFormat="0" applyFill="0" applyBorder="0" applyAlignment="0" applyProtection="0"/>
    <xf numFmtId="0" fontId="30" fillId="16" borderId="57" applyNumberFormat="0" applyFont="0" applyAlignment="0" applyProtection="0"/>
    <xf numFmtId="0" fontId="43" fillId="0" borderId="0" applyNumberFormat="0" applyFill="0" applyBorder="0" applyAlignment="0" applyProtection="0"/>
    <xf numFmtId="0" fontId="3" fillId="0" borderId="58" applyNumberFormat="0" applyFill="0" applyAlignment="0" applyProtection="0"/>
    <xf numFmtId="0" fontId="44" fillId="17"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44" fillId="21" borderId="0" applyNumberFormat="0" applyBorder="0" applyAlignment="0" applyProtection="0"/>
    <xf numFmtId="0" fontId="30" fillId="22" borderId="0" applyNumberFormat="0" applyBorder="0" applyAlignment="0" applyProtection="0"/>
    <xf numFmtId="0" fontId="30" fillId="23" borderId="0" applyNumberFormat="0" applyBorder="0" applyAlignment="0" applyProtection="0"/>
    <xf numFmtId="0" fontId="30" fillId="24" borderId="0" applyNumberFormat="0" applyBorder="0" applyAlignment="0" applyProtection="0"/>
    <xf numFmtId="0" fontId="44" fillId="25" borderId="0" applyNumberFormat="0" applyBorder="0" applyAlignment="0" applyProtection="0"/>
    <xf numFmtId="0" fontId="30" fillId="26" borderId="0" applyNumberFormat="0" applyBorder="0" applyAlignment="0" applyProtection="0"/>
    <xf numFmtId="0" fontId="30" fillId="27" borderId="0" applyNumberFormat="0" applyBorder="0" applyAlignment="0" applyProtection="0"/>
    <xf numFmtId="0" fontId="30" fillId="28" borderId="0" applyNumberFormat="0" applyBorder="0" applyAlignment="0" applyProtection="0"/>
    <xf numFmtId="0" fontId="44" fillId="29" borderId="0" applyNumberFormat="0" applyBorder="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44" fillId="33"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44" fillId="37"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9" fontId="30" fillId="0" borderId="0" applyFont="0" applyFill="0" applyBorder="0" applyAlignment="0" applyProtection="0"/>
    <xf numFmtId="43" fontId="30" fillId="0" borderId="0" applyFont="0" applyFill="0" applyBorder="0" applyAlignment="0" applyProtection="0"/>
  </cellStyleXfs>
  <cellXfs count="388">
    <xf numFmtId="0" fontId="0" fillId="0" borderId="0" xfId="0"/>
    <xf numFmtId="0" fontId="0" fillId="0" borderId="0" xfId="0" applyAlignment="1">
      <alignment horizontal="center" vertical="center"/>
    </xf>
    <xf numFmtId="0" fontId="0" fillId="0" borderId="10" xfId="0" applyBorder="1"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0" fontId="0" fillId="0" borderId="0" xfId="0" applyAlignment="1">
      <alignment vertical="center" wrapText="1"/>
    </xf>
    <xf numFmtId="0" fontId="5" fillId="0" borderId="0" xfId="0" applyFont="1" applyAlignment="1">
      <alignment horizontal="justify" vertical="center" wrapText="1"/>
    </xf>
    <xf numFmtId="0" fontId="0" fillId="0" borderId="10" xfId="0" applyBorder="1" applyAlignment="1">
      <alignment horizontal="center" vertical="center" wrapText="1"/>
    </xf>
    <xf numFmtId="0" fontId="1" fillId="0" borderId="3" xfId="0" applyFont="1" applyBorder="1" applyAlignment="1">
      <alignment horizontal="center" vertic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4" fontId="1" fillId="0" borderId="5"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8" fontId="1" fillId="0" borderId="5" xfId="0" applyNumberFormat="1" applyFont="1" applyBorder="1" applyAlignment="1">
      <alignment horizontal="center" vertical="center" wrapText="1"/>
    </xf>
    <xf numFmtId="0" fontId="1" fillId="2" borderId="5" xfId="0" applyFont="1" applyFill="1" applyBorder="1" applyAlignment="1">
      <alignment horizontal="center" vertical="center" wrapText="1"/>
    </xf>
    <xf numFmtId="0" fontId="8" fillId="0" borderId="0" xfId="0" applyFont="1"/>
    <xf numFmtId="4" fontId="4" fillId="0" borderId="0" xfId="0" applyNumberFormat="1" applyFont="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2" fontId="1" fillId="0" borderId="1" xfId="0" applyNumberFormat="1" applyFont="1" applyBorder="1" applyAlignment="1">
      <alignment horizontal="center" vertical="center" wrapText="1"/>
    </xf>
    <xf numFmtId="4" fontId="1" fillId="0" borderId="2" xfId="0" applyNumberFormat="1" applyFont="1" applyBorder="1" applyAlignment="1">
      <alignment horizontal="center" vertical="center" wrapText="1"/>
    </xf>
    <xf numFmtId="0" fontId="4" fillId="0" borderId="0" xfId="0" applyFont="1" applyAlignment="1">
      <alignment horizontal="center" vertical="center" wrapText="1"/>
    </xf>
    <xf numFmtId="4" fontId="1" fillId="0" borderId="5" xfId="0" applyNumberFormat="1" applyFont="1" applyBorder="1" applyAlignment="1">
      <alignment horizontal="center" vertical="center" wrapText="1"/>
    </xf>
    <xf numFmtId="0" fontId="3" fillId="0" borderId="0" xfId="0" applyFont="1" applyAlignment="1">
      <alignment horizontal="center"/>
    </xf>
    <xf numFmtId="2" fontId="1" fillId="0" borderId="5" xfId="0" applyNumberFormat="1" applyFont="1" applyBorder="1" applyAlignment="1">
      <alignment horizontal="center" vertical="center" wrapText="1"/>
    </xf>
    <xf numFmtId="8" fontId="2" fillId="0" borderId="5" xfId="0" applyNumberFormat="1" applyFont="1" applyBorder="1" applyAlignment="1">
      <alignment horizontal="center" vertical="center" wrapText="1"/>
    </xf>
    <xf numFmtId="0" fontId="1" fillId="2" borderId="19" xfId="0" applyFont="1" applyFill="1" applyBorder="1" applyAlignment="1">
      <alignment horizontal="left" vertical="center" wrapText="1"/>
    </xf>
    <xf numFmtId="8" fontId="1" fillId="2" borderId="20" xfId="0" applyNumberFormat="1" applyFont="1" applyFill="1" applyBorder="1" applyAlignment="1">
      <alignment horizontal="center" vertical="center" wrapText="1"/>
    </xf>
    <xf numFmtId="8" fontId="2" fillId="0" borderId="23" xfId="0" applyNumberFormat="1" applyFont="1" applyBorder="1" applyAlignment="1">
      <alignment horizontal="center" vertical="center" wrapText="1"/>
    </xf>
    <xf numFmtId="0" fontId="2" fillId="4" borderId="17" xfId="0" applyFont="1" applyFill="1" applyBorder="1" applyAlignment="1">
      <alignment horizontal="center" vertical="center"/>
    </xf>
    <xf numFmtId="0" fontId="2" fillId="4" borderId="18" xfId="0" applyFont="1" applyFill="1" applyBorder="1" applyAlignment="1">
      <alignment horizontal="center" vertical="center" wrapText="1"/>
    </xf>
    <xf numFmtId="0" fontId="7" fillId="0" borderId="21" xfId="0" applyFont="1" applyBorder="1" applyAlignment="1">
      <alignment horizontal="right" vertical="center" wrapText="1"/>
    </xf>
    <xf numFmtId="0" fontId="8" fillId="0" borderId="0" xfId="0" applyFont="1" applyAlignment="1">
      <alignment horizontal="center" vertical="center"/>
    </xf>
    <xf numFmtId="4" fontId="2" fillId="0" borderId="5" xfId="0" applyNumberFormat="1" applyFont="1" applyBorder="1" applyAlignment="1">
      <alignment horizontal="center" vertical="center"/>
    </xf>
    <xf numFmtId="4" fontId="2" fillId="0" borderId="5" xfId="0" applyNumberFormat="1" applyFont="1" applyBorder="1" applyAlignment="1">
      <alignment horizontal="center" vertical="center" wrapText="1"/>
    </xf>
    <xf numFmtId="0" fontId="2" fillId="4" borderId="10" xfId="0" applyFont="1" applyFill="1" applyBorder="1" applyAlignment="1">
      <alignment horizontal="center" vertical="center" wrapText="1"/>
    </xf>
    <xf numFmtId="0" fontId="13" fillId="0" borderId="0" xfId="0" applyFont="1" applyAlignment="1">
      <alignment horizontal="left" vertical="center"/>
    </xf>
    <xf numFmtId="0" fontId="16" fillId="0" borderId="0" xfId="1" applyFont="1"/>
    <xf numFmtId="0" fontId="17" fillId="0" borderId="7" xfId="1" applyFont="1" applyBorder="1"/>
    <xf numFmtId="0" fontId="17" fillId="0" borderId="8" xfId="1" applyFont="1" applyBorder="1"/>
    <xf numFmtId="0" fontId="17" fillId="0" borderId="2" xfId="1" applyFont="1" applyBorder="1"/>
    <xf numFmtId="0" fontId="17" fillId="6" borderId="7" xfId="1" applyFont="1" applyFill="1" applyBorder="1"/>
    <xf numFmtId="0" fontId="17" fillId="6" borderId="8" xfId="1" applyFont="1" applyFill="1" applyBorder="1"/>
    <xf numFmtId="0" fontId="16" fillId="6" borderId="8" xfId="1" applyFont="1" applyFill="1" applyBorder="1"/>
    <xf numFmtId="0" fontId="16" fillId="6" borderId="2" xfId="1" applyFont="1" applyFill="1" applyBorder="1"/>
    <xf numFmtId="0" fontId="16" fillId="0" borderId="27" xfId="1" applyFont="1" applyBorder="1"/>
    <xf numFmtId="0" fontId="16" fillId="0" borderId="28" xfId="1" applyFont="1" applyBorder="1"/>
    <xf numFmtId="0" fontId="16" fillId="0" borderId="19" xfId="1" applyFont="1" applyBorder="1"/>
    <xf numFmtId="2" fontId="16" fillId="2" borderId="25" xfId="1" applyNumberFormat="1" applyFont="1" applyFill="1" applyBorder="1"/>
    <xf numFmtId="0" fontId="16" fillId="0" borderId="24" xfId="1" applyFont="1" applyBorder="1"/>
    <xf numFmtId="0" fontId="16" fillId="0" borderId="29" xfId="1" applyFont="1" applyBorder="1"/>
    <xf numFmtId="2" fontId="16" fillId="0" borderId="25" xfId="1" applyNumberFormat="1" applyFont="1" applyBorder="1"/>
    <xf numFmtId="0" fontId="17" fillId="0" borderId="10" xfId="1" applyFont="1" applyBorder="1"/>
    <xf numFmtId="2" fontId="17" fillId="0" borderId="25" xfId="1" applyNumberFormat="1" applyFont="1" applyBorder="1"/>
    <xf numFmtId="0" fontId="17" fillId="0" borderId="24" xfId="1" applyFont="1" applyBorder="1"/>
    <xf numFmtId="2" fontId="16" fillId="7" borderId="25" xfId="1" applyNumberFormat="1" applyFont="1" applyFill="1" applyBorder="1"/>
    <xf numFmtId="0" fontId="17" fillId="0" borderId="0" xfId="1" applyFont="1"/>
    <xf numFmtId="2" fontId="17" fillId="0" borderId="0" xfId="1" applyNumberFormat="1" applyFont="1"/>
    <xf numFmtId="2" fontId="16" fillId="0" borderId="0" xfId="1" applyNumberFormat="1" applyFont="1"/>
    <xf numFmtId="0" fontId="16" fillId="0" borderId="30" xfId="1" applyFont="1" applyBorder="1" applyAlignment="1">
      <alignment wrapText="1"/>
    </xf>
    <xf numFmtId="2" fontId="16" fillId="2" borderId="31" xfId="1" applyNumberFormat="1" applyFont="1" applyFill="1" applyBorder="1"/>
    <xf numFmtId="0" fontId="16" fillId="0" borderId="31" xfId="1" applyFont="1" applyBorder="1"/>
    <xf numFmtId="0" fontId="16" fillId="0" borderId="32" xfId="1" applyFont="1" applyBorder="1"/>
    <xf numFmtId="4" fontId="16" fillId="7" borderId="33" xfId="1" applyNumberFormat="1" applyFont="1" applyFill="1" applyBorder="1"/>
    <xf numFmtId="0" fontId="16" fillId="0" borderId="21" xfId="1" applyFont="1" applyBorder="1" applyAlignment="1">
      <alignment wrapText="1"/>
    </xf>
    <xf numFmtId="4" fontId="16" fillId="2" borderId="34" xfId="1" applyNumberFormat="1" applyFont="1" applyFill="1" applyBorder="1"/>
    <xf numFmtId="0" fontId="16" fillId="0" borderId="35" xfId="1" applyFont="1" applyBorder="1"/>
    <xf numFmtId="0" fontId="16" fillId="0" borderId="36" xfId="1" applyFont="1" applyBorder="1"/>
    <xf numFmtId="0" fontId="18" fillId="0" borderId="37" xfId="1" applyFont="1" applyBorder="1" applyAlignment="1">
      <alignment horizontal="center"/>
    </xf>
    <xf numFmtId="0" fontId="18" fillId="0" borderId="38" xfId="1" applyFont="1" applyBorder="1" applyAlignment="1">
      <alignment horizontal="center"/>
    </xf>
    <xf numFmtId="0" fontId="16" fillId="0" borderId="30" xfId="1" applyFont="1" applyBorder="1" applyAlignment="1">
      <alignment horizontal="left" vertical="center" wrapText="1"/>
    </xf>
    <xf numFmtId="0" fontId="16" fillId="0" borderId="16" xfId="1" applyFont="1" applyBorder="1" applyAlignment="1">
      <alignment horizontal="center" wrapText="1"/>
    </xf>
    <xf numFmtId="0" fontId="16" fillId="0" borderId="39" xfId="1" applyFont="1" applyBorder="1" applyAlignment="1">
      <alignment horizontal="center" wrapText="1"/>
    </xf>
    <xf numFmtId="4" fontId="16" fillId="6" borderId="24" xfId="1" applyNumberFormat="1" applyFont="1" applyFill="1" applyBorder="1" applyAlignment="1">
      <alignment horizontal="center"/>
    </xf>
    <xf numFmtId="4" fontId="16" fillId="6" borderId="29" xfId="1" applyNumberFormat="1" applyFont="1" applyFill="1" applyBorder="1" applyAlignment="1">
      <alignment horizontal="center"/>
    </xf>
    <xf numFmtId="0" fontId="16" fillId="0" borderId="22" xfId="1" applyFont="1" applyBorder="1"/>
    <xf numFmtId="2" fontId="16" fillId="0" borderId="22" xfId="1" applyNumberFormat="1" applyFont="1" applyBorder="1" applyAlignment="1">
      <alignment horizontal="center" vertical="center"/>
    </xf>
    <xf numFmtId="2" fontId="16" fillId="0" borderId="23" xfId="1" applyNumberFormat="1" applyFont="1" applyBorder="1" applyAlignment="1">
      <alignment horizontal="center" vertical="center"/>
    </xf>
    <xf numFmtId="0" fontId="16" fillId="0" borderId="0" xfId="1" applyFont="1" applyAlignment="1">
      <alignment wrapText="1"/>
    </xf>
    <xf numFmtId="0" fontId="17" fillId="6" borderId="41" xfId="1" applyFont="1" applyFill="1" applyBorder="1" applyAlignment="1">
      <alignment vertical="top"/>
    </xf>
    <xf numFmtId="0" fontId="16" fillId="6" borderId="42" xfId="1" applyFont="1" applyFill="1" applyBorder="1"/>
    <xf numFmtId="0" fontId="16" fillId="6" borderId="43" xfId="1" applyFont="1" applyFill="1" applyBorder="1"/>
    <xf numFmtId="0" fontId="16" fillId="0" borderId="19" xfId="1" applyFont="1" applyBorder="1" applyAlignment="1">
      <alignment vertical="top"/>
    </xf>
    <xf numFmtId="165" fontId="16" fillId="0" borderId="10" xfId="1" applyNumberFormat="1" applyFont="1" applyBorder="1" applyAlignment="1">
      <alignment horizontal="center"/>
    </xf>
    <xf numFmtId="4" fontId="16" fillId="0" borderId="10" xfId="1" applyNumberFormat="1" applyFont="1" applyBorder="1" applyAlignment="1">
      <alignment horizontal="center"/>
    </xf>
    <xf numFmtId="4" fontId="16" fillId="0" borderId="20" xfId="1" applyNumberFormat="1" applyFont="1" applyBorder="1" applyAlignment="1">
      <alignment horizontal="center"/>
    </xf>
    <xf numFmtId="0" fontId="17" fillId="0" borderId="21" xfId="1" applyFont="1" applyBorder="1" applyAlignment="1">
      <alignment vertical="top"/>
    </xf>
    <xf numFmtId="165" fontId="17" fillId="0" borderId="22" xfId="1" applyNumberFormat="1" applyFont="1" applyBorder="1" applyAlignment="1">
      <alignment horizontal="center"/>
    </xf>
    <xf numFmtId="4" fontId="17" fillId="0" borderId="22" xfId="1" applyNumberFormat="1" applyFont="1" applyBorder="1" applyAlignment="1">
      <alignment horizontal="center"/>
    </xf>
    <xf numFmtId="4" fontId="16" fillId="0" borderId="22" xfId="1" applyNumberFormat="1" applyFont="1" applyBorder="1" applyAlignment="1">
      <alignment horizontal="center"/>
    </xf>
    <xf numFmtId="4" fontId="17" fillId="0" borderId="23" xfId="1" applyNumberFormat="1" applyFont="1" applyBorder="1" applyAlignment="1">
      <alignment horizontal="center"/>
    </xf>
    <xf numFmtId="165" fontId="16" fillId="0" borderId="0" xfId="1" applyNumberFormat="1" applyFont="1"/>
    <xf numFmtId="165" fontId="16" fillId="6" borderId="42" xfId="1" applyNumberFormat="1" applyFont="1" applyFill="1" applyBorder="1"/>
    <xf numFmtId="165" fontId="16" fillId="0" borderId="10" xfId="1" quotePrefix="1" applyNumberFormat="1" applyFont="1" applyBorder="1" applyAlignment="1">
      <alignment horizontal="center"/>
    </xf>
    <xf numFmtId="0" fontId="19" fillId="0" borderId="0" xfId="1" applyFont="1"/>
    <xf numFmtId="0" fontId="19" fillId="0" borderId="0" xfId="1" applyFont="1" applyAlignment="1">
      <alignment horizontal="center"/>
    </xf>
    <xf numFmtId="4" fontId="19" fillId="0" borderId="0" xfId="1" applyNumberFormat="1" applyFont="1" applyAlignment="1">
      <alignment wrapText="1"/>
    </xf>
    <xf numFmtId="4" fontId="19" fillId="0" borderId="0" xfId="1" applyNumberFormat="1" applyFont="1"/>
    <xf numFmtId="0" fontId="17" fillId="6" borderId="25" xfId="1" applyFont="1" applyFill="1" applyBorder="1" applyAlignment="1">
      <alignment vertical="top"/>
    </xf>
    <xf numFmtId="4" fontId="20" fillId="0" borderId="0" xfId="1" applyNumberFormat="1" applyFont="1" applyAlignment="1">
      <alignment horizontal="center" vertical="top" wrapText="1"/>
    </xf>
    <xf numFmtId="0" fontId="17" fillId="0" borderId="0" xfId="1" applyFont="1" applyAlignment="1">
      <alignment horizontal="center"/>
    </xf>
    <xf numFmtId="0" fontId="20" fillId="0" borderId="0" xfId="1" applyFont="1" applyAlignment="1">
      <alignment horizontal="center" vertical="top"/>
    </xf>
    <xf numFmtId="0" fontId="20" fillId="0" borderId="0" xfId="1" applyFont="1" applyAlignment="1">
      <alignment vertical="top"/>
    </xf>
    <xf numFmtId="4" fontId="20" fillId="0" borderId="0" xfId="1" applyNumberFormat="1" applyFont="1" applyAlignment="1">
      <alignment vertical="top" wrapText="1"/>
    </xf>
    <xf numFmtId="0" fontId="17" fillId="6" borderId="10" xfId="1" applyFont="1" applyFill="1" applyBorder="1" applyAlignment="1">
      <alignment horizontal="center"/>
    </xf>
    <xf numFmtId="0" fontId="20" fillId="0" borderId="10" xfId="1" applyFont="1" applyBorder="1" applyAlignment="1">
      <alignment horizontal="center" vertical="top"/>
    </xf>
    <xf numFmtId="0" fontId="19" fillId="0" borderId="10" xfId="1" applyFont="1" applyBorder="1" applyAlignment="1">
      <alignment vertical="top"/>
    </xf>
    <xf numFmtId="4" fontId="19" fillId="0" borderId="10" xfId="1" applyNumberFormat="1" applyFont="1" applyBorder="1" applyAlignment="1">
      <alignment vertical="top" wrapText="1"/>
    </xf>
    <xf numFmtId="0" fontId="16" fillId="0" borderId="10" xfId="1" applyFont="1" applyBorder="1"/>
    <xf numFmtId="2" fontId="16" fillId="0" borderId="10" xfId="1" applyNumberFormat="1" applyFont="1" applyBorder="1"/>
    <xf numFmtId="4" fontId="19" fillId="0" borderId="0" xfId="1" applyNumberFormat="1" applyFont="1" applyAlignment="1">
      <alignment vertical="top"/>
    </xf>
    <xf numFmtId="0" fontId="19" fillId="0" borderId="0" xfId="1" applyFont="1" applyAlignment="1">
      <alignment vertical="top"/>
    </xf>
    <xf numFmtId="4" fontId="19" fillId="0" borderId="0" xfId="1" applyNumberFormat="1" applyFont="1" applyAlignment="1">
      <alignment vertical="top" wrapText="1"/>
    </xf>
    <xf numFmtId="4" fontId="19" fillId="6" borderId="26" xfId="1" applyNumberFormat="1" applyFont="1" applyFill="1" applyBorder="1" applyAlignment="1">
      <alignment vertical="top" wrapText="1"/>
    </xf>
    <xf numFmtId="0" fontId="20" fillId="0" borderId="25" xfId="1" applyFont="1" applyBorder="1" applyAlignment="1">
      <alignment vertical="top"/>
    </xf>
    <xf numFmtId="0" fontId="17" fillId="0" borderId="10" xfId="1" applyFont="1" applyBorder="1" applyAlignment="1">
      <alignment vertical="top"/>
    </xf>
    <xf numFmtId="4" fontId="16" fillId="0" borderId="10" xfId="1" applyNumberFormat="1" applyFont="1" applyBorder="1"/>
    <xf numFmtId="0" fontId="17" fillId="0" borderId="16" xfId="1" applyFont="1" applyBorder="1" applyAlignment="1">
      <alignment vertical="top"/>
    </xf>
    <xf numFmtId="0" fontId="17" fillId="0" borderId="44" xfId="1" applyFont="1" applyBorder="1" applyAlignment="1">
      <alignment vertical="top"/>
    </xf>
    <xf numFmtId="0" fontId="20" fillId="0" borderId="33" xfId="1" applyFont="1" applyBorder="1" applyAlignment="1">
      <alignment vertical="top"/>
    </xf>
    <xf numFmtId="4" fontId="19" fillId="0" borderId="26" xfId="1" applyNumberFormat="1" applyFont="1" applyBorder="1" applyAlignment="1">
      <alignment vertical="top" wrapText="1"/>
    </xf>
    <xf numFmtId="0" fontId="21" fillId="0" borderId="10" xfId="1" applyFont="1" applyBorder="1" applyAlignment="1">
      <alignment vertical="top"/>
    </xf>
    <xf numFmtId="0" fontId="21" fillId="0" borderId="0" xfId="1" applyFont="1" applyAlignment="1">
      <alignment vertical="top"/>
    </xf>
    <xf numFmtId="0" fontId="19" fillId="0" borderId="0" xfId="1" applyFont="1" applyAlignment="1">
      <alignment vertical="top" wrapText="1"/>
    </xf>
    <xf numFmtId="0" fontId="19" fillId="0" borderId="10" xfId="1" applyFont="1" applyBorder="1" applyAlignment="1">
      <alignment vertical="top" wrapText="1"/>
    </xf>
    <xf numFmtId="0" fontId="17" fillId="0" borderId="25" xfId="1" applyFont="1" applyBorder="1" applyAlignment="1">
      <alignment vertical="top"/>
    </xf>
    <xf numFmtId="0" fontId="19" fillId="0" borderId="37" xfId="1" applyFont="1" applyBorder="1" applyAlignment="1">
      <alignment vertical="top"/>
    </xf>
    <xf numFmtId="4" fontId="19" fillId="0" borderId="37" xfId="1" applyNumberFormat="1" applyFont="1" applyBorder="1" applyAlignment="1">
      <alignment vertical="top" wrapText="1"/>
    </xf>
    <xf numFmtId="0" fontId="17" fillId="0" borderId="33" xfId="1" applyFont="1" applyBorder="1" applyAlignment="1">
      <alignment vertical="top"/>
    </xf>
    <xf numFmtId="0" fontId="17" fillId="0" borderId="10" xfId="1" applyFont="1" applyBorder="1" applyAlignment="1">
      <alignment horizontal="center"/>
    </xf>
    <xf numFmtId="4" fontId="16" fillId="0" borderId="10" xfId="1" applyNumberFormat="1" applyFont="1" applyBorder="1" applyAlignment="1">
      <alignment wrapText="1"/>
    </xf>
    <xf numFmtId="4" fontId="16" fillId="0" borderId="0" xfId="1" applyNumberFormat="1" applyFont="1"/>
    <xf numFmtId="0" fontId="16" fillId="0" borderId="0" xfId="1" applyFont="1" applyAlignment="1">
      <alignment horizontal="center"/>
    </xf>
    <xf numFmtId="4" fontId="16" fillId="0" borderId="0" xfId="1" applyNumberFormat="1" applyFont="1" applyAlignment="1">
      <alignment wrapText="1"/>
    </xf>
    <xf numFmtId="2" fontId="22" fillId="0" borderId="0" xfId="1" applyNumberFormat="1" applyFont="1"/>
    <xf numFmtId="0" fontId="15" fillId="0" borderId="0" xfId="1"/>
    <xf numFmtId="0" fontId="15" fillId="0" borderId="27" xfId="1" applyBorder="1"/>
    <xf numFmtId="0" fontId="15" fillId="0" borderId="28" xfId="1" applyBorder="1"/>
    <xf numFmtId="0" fontId="15" fillId="0" borderId="30" xfId="1" applyBorder="1" applyAlignment="1">
      <alignment horizontal="center" vertical="center" wrapText="1"/>
    </xf>
    <xf numFmtId="0" fontId="15" fillId="0" borderId="16" xfId="1" applyBorder="1" applyAlignment="1">
      <alignment horizontal="center" vertical="center" wrapText="1"/>
    </xf>
    <xf numFmtId="0" fontId="15" fillId="0" borderId="39" xfId="1" applyBorder="1" applyAlignment="1">
      <alignment horizontal="center" vertical="center" wrapText="1"/>
    </xf>
    <xf numFmtId="0" fontId="23" fillId="0" borderId="45" xfId="1" applyFont="1" applyBorder="1"/>
    <xf numFmtId="2" fontId="23" fillId="0" borderId="37" xfId="1" applyNumberFormat="1" applyFont="1" applyBorder="1" applyAlignment="1">
      <alignment horizontal="center"/>
    </xf>
    <xf numFmtId="4" fontId="23" fillId="0" borderId="37" xfId="1" applyNumberFormat="1" applyFont="1" applyBorder="1" applyAlignment="1">
      <alignment horizontal="center"/>
    </xf>
    <xf numFmtId="4" fontId="23" fillId="0" borderId="10" xfId="1" applyNumberFormat="1" applyFont="1" applyBorder="1" applyAlignment="1">
      <alignment horizontal="center"/>
    </xf>
    <xf numFmtId="166" fontId="23" fillId="0" borderId="46" xfId="1" applyNumberFormat="1" applyFont="1" applyBorder="1"/>
    <xf numFmtId="0" fontId="23" fillId="0" borderId="27" xfId="1" applyFont="1" applyBorder="1"/>
    <xf numFmtId="0" fontId="23" fillId="0" borderId="0" xfId="1" applyFont="1"/>
    <xf numFmtId="166" fontId="24" fillId="0" borderId="1" xfId="1" applyNumberFormat="1" applyFont="1" applyBorder="1"/>
    <xf numFmtId="0" fontId="23" fillId="0" borderId="28" xfId="1" applyFont="1" applyBorder="1"/>
    <xf numFmtId="4" fontId="23" fillId="0" borderId="47" xfId="1" applyNumberFormat="1" applyFont="1" applyBorder="1" applyAlignment="1">
      <alignment horizontal="center"/>
    </xf>
    <xf numFmtId="166" fontId="23" fillId="0" borderId="38" xfId="1" applyNumberFormat="1" applyFont="1" applyBorder="1"/>
    <xf numFmtId="2" fontId="23" fillId="0" borderId="10" xfId="1" applyNumberFormat="1" applyFont="1" applyBorder="1" applyAlignment="1">
      <alignment horizontal="center"/>
    </xf>
    <xf numFmtId="0" fontId="23" fillId="0" borderId="19" xfId="1" applyFont="1" applyBorder="1"/>
    <xf numFmtId="0" fontId="23" fillId="0" borderId="14" xfId="1" applyFont="1" applyBorder="1"/>
    <xf numFmtId="166" fontId="23" fillId="0" borderId="37" xfId="1" applyNumberFormat="1" applyFont="1" applyBorder="1"/>
    <xf numFmtId="166" fontId="23" fillId="0" borderId="10" xfId="1" applyNumberFormat="1" applyFont="1" applyBorder="1"/>
    <xf numFmtId="4" fontId="24" fillId="6" borderId="1" xfId="1" applyNumberFormat="1" applyFont="1" applyFill="1" applyBorder="1" applyAlignment="1">
      <alignment horizontal="center"/>
    </xf>
    <xf numFmtId="166" fontId="24" fillId="6" borderId="1" xfId="1" applyNumberFormat="1" applyFont="1" applyFill="1" applyBorder="1"/>
    <xf numFmtId="0" fontId="25" fillId="0" borderId="0" xfId="1" applyFont="1"/>
    <xf numFmtId="4" fontId="15" fillId="0" borderId="0" xfId="1" applyNumberFormat="1"/>
    <xf numFmtId="0" fontId="0" fillId="0" borderId="0" xfId="0" applyAlignment="1">
      <alignment horizontal="center" wrapText="1"/>
    </xf>
    <xf numFmtId="0" fontId="0" fillId="0" borderId="10" xfId="0" applyBorder="1" applyAlignment="1">
      <alignment horizontal="center" wrapText="1"/>
    </xf>
    <xf numFmtId="0" fontId="0" fillId="0" borderId="0" xfId="0" applyAlignment="1">
      <alignment wrapText="1"/>
    </xf>
    <xf numFmtId="2" fontId="0" fillId="0" borderId="10" xfId="0" applyNumberFormat="1" applyBorder="1" applyAlignment="1">
      <alignment horizontal="center" vertical="center" wrapText="1"/>
    </xf>
    <xf numFmtId="0" fontId="0" fillId="2" borderId="10" xfId="0" applyFill="1" applyBorder="1" applyAlignment="1">
      <alignment wrapText="1"/>
    </xf>
    <xf numFmtId="49" fontId="0" fillId="0" borderId="0" xfId="0" applyNumberFormat="1" applyAlignment="1">
      <alignment wrapText="1"/>
    </xf>
    <xf numFmtId="0" fontId="26" fillId="5" borderId="10" xfId="0" applyFont="1" applyFill="1" applyBorder="1" applyAlignment="1">
      <alignment horizontal="center" vertical="center" wrapText="1"/>
    </xf>
    <xf numFmtId="0" fontId="27" fillId="5" borderId="10" xfId="0" applyFont="1" applyFill="1" applyBorder="1" applyAlignment="1">
      <alignment horizontal="center" vertical="center" wrapText="1"/>
    </xf>
    <xf numFmtId="4" fontId="27" fillId="5" borderId="10" xfId="0" applyNumberFormat="1" applyFont="1" applyFill="1" applyBorder="1" applyAlignment="1">
      <alignment horizontal="center" vertical="center" wrapText="1"/>
    </xf>
    <xf numFmtId="0" fontId="0" fillId="0" borderId="27" xfId="0" applyBorder="1" applyAlignment="1">
      <alignment vertical="center" wrapText="1"/>
    </xf>
    <xf numFmtId="0" fontId="0" fillId="5" borderId="0" xfId="0" applyFill="1" applyAlignment="1">
      <alignment wrapText="1"/>
    </xf>
    <xf numFmtId="0" fontId="0" fillId="8" borderId="0" xfId="0" applyFill="1" applyAlignment="1">
      <alignment wrapText="1"/>
    </xf>
    <xf numFmtId="0" fontId="0" fillId="9" borderId="0" xfId="0" applyFill="1" applyAlignment="1">
      <alignment wrapText="1"/>
    </xf>
    <xf numFmtId="0" fontId="29" fillId="9" borderId="10" xfId="0" applyFont="1" applyFill="1" applyBorder="1" applyAlignment="1">
      <alignment horizontal="center" vertical="center" wrapText="1"/>
    </xf>
    <xf numFmtId="0" fontId="13" fillId="0" borderId="0" xfId="0" applyFont="1" applyAlignment="1">
      <alignment horizontal="center" wrapText="1"/>
    </xf>
    <xf numFmtId="0" fontId="0" fillId="0" borderId="0" xfId="0" applyAlignment="1">
      <alignment horizontal="left" wrapText="1"/>
    </xf>
    <xf numFmtId="0" fontId="1" fillId="2" borderId="40" xfId="0" applyFont="1" applyFill="1" applyBorder="1" applyAlignment="1">
      <alignment vertical="center" wrapText="1"/>
    </xf>
    <xf numFmtId="0" fontId="26" fillId="0" borderId="0" xfId="0" applyFont="1" applyAlignment="1">
      <alignment horizontal="center" vertical="center"/>
    </xf>
    <xf numFmtId="167" fontId="0" fillId="0" borderId="10" xfId="0" applyNumberFormat="1" applyBorder="1" applyAlignment="1">
      <alignment horizontal="center"/>
    </xf>
    <xf numFmtId="0" fontId="0" fillId="0" borderId="10" xfId="0" applyBorder="1" applyAlignment="1">
      <alignment horizontal="center"/>
    </xf>
    <xf numFmtId="9" fontId="0" fillId="0" borderId="0" xfId="0" applyNumberFormat="1" applyAlignment="1">
      <alignment horizontal="left" wrapText="1"/>
    </xf>
    <xf numFmtId="0" fontId="0" fillId="8" borderId="10" xfId="0" applyFill="1" applyBorder="1" applyAlignment="1">
      <alignment horizontal="center"/>
    </xf>
    <xf numFmtId="167" fontId="26" fillId="0" borderId="0" xfId="0" applyNumberFormat="1" applyFont="1" applyAlignment="1">
      <alignment horizontal="center" vertical="center" wrapText="1"/>
    </xf>
    <xf numFmtId="167" fontId="0" fillId="8" borderId="10" xfId="0" applyNumberFormat="1" applyFill="1" applyBorder="1" applyAlignment="1">
      <alignment horizontal="center"/>
    </xf>
    <xf numFmtId="1" fontId="0" fillId="0" borderId="10" xfId="0" applyNumberFormat="1" applyBorder="1" applyAlignment="1">
      <alignment horizontal="center" vertical="center" wrapText="1"/>
    </xf>
    <xf numFmtId="0" fontId="45" fillId="0" borderId="0" xfId="0" applyFont="1" applyAlignment="1">
      <alignment horizontal="center" wrapText="1"/>
    </xf>
    <xf numFmtId="0" fontId="46" fillId="0" borderId="10" xfId="0" applyFont="1" applyBorder="1" applyAlignment="1">
      <alignment horizontal="center" vertical="center" wrapText="1"/>
    </xf>
    <xf numFmtId="0" fontId="0" fillId="8" borderId="10" xfId="0" applyFill="1" applyBorder="1" applyAlignment="1">
      <alignment horizontal="center" wrapText="1"/>
    </xf>
    <xf numFmtId="0" fontId="47" fillId="0" borderId="0" xfId="1" applyFont="1"/>
    <xf numFmtId="2" fontId="47" fillId="7" borderId="25" xfId="1" applyNumberFormat="1" applyFont="1" applyFill="1" applyBorder="1"/>
    <xf numFmtId="2" fontId="48" fillId="7" borderId="25" xfId="1" applyNumberFormat="1" applyFont="1" applyFill="1" applyBorder="1"/>
    <xf numFmtId="0" fontId="48" fillId="0" borderId="0" xfId="1" applyFont="1"/>
    <xf numFmtId="0" fontId="0" fillId="8" borderId="10" xfId="0" applyFill="1" applyBorder="1" applyAlignment="1">
      <alignment horizontal="center" vertical="center"/>
    </xf>
    <xf numFmtId="0" fontId="13" fillId="0" borderId="0" xfId="0" applyFont="1"/>
    <xf numFmtId="0" fontId="49" fillId="0" borderId="10" xfId="0" applyFont="1" applyBorder="1" applyAlignment="1">
      <alignment horizontal="center" vertical="center" wrapText="1"/>
    </xf>
    <xf numFmtId="2" fontId="47" fillId="0" borderId="0" xfId="1" applyNumberFormat="1" applyFont="1" applyAlignment="1">
      <alignment horizontal="left"/>
    </xf>
    <xf numFmtId="0" fontId="51" fillId="6" borderId="10" xfId="1" applyFont="1" applyFill="1" applyBorder="1" applyAlignment="1">
      <alignment horizontal="center"/>
    </xf>
    <xf numFmtId="2" fontId="47" fillId="0" borderId="10" xfId="1" applyNumberFormat="1" applyFont="1" applyBorder="1" applyAlignment="1">
      <alignment horizontal="left"/>
    </xf>
    <xf numFmtId="0" fontId="1" fillId="0" borderId="10" xfId="0" applyFont="1" applyBorder="1" applyAlignment="1">
      <alignment horizontal="left" vertical="center" wrapText="1"/>
    </xf>
    <xf numFmtId="0" fontId="1" fillId="0" borderId="10" xfId="0" applyFont="1" applyBorder="1" applyAlignment="1">
      <alignment vertical="center" wrapText="1"/>
    </xf>
    <xf numFmtId="0" fontId="29" fillId="0" borderId="10" xfId="0" applyFont="1" applyBorder="1" applyAlignment="1">
      <alignment horizontal="center" vertical="center" wrapText="1"/>
    </xf>
    <xf numFmtId="0" fontId="0" fillId="41" borderId="0" xfId="0" applyFill="1" applyAlignment="1">
      <alignment wrapText="1"/>
    </xf>
    <xf numFmtId="0" fontId="1" fillId="2" borderId="10" xfId="0" applyFont="1" applyFill="1" applyBorder="1" applyAlignment="1">
      <alignment vertical="center" wrapText="1"/>
    </xf>
    <xf numFmtId="0" fontId="26" fillId="41" borderId="0" xfId="0" applyFont="1" applyFill="1" applyAlignment="1">
      <alignment horizontal="center" vertical="center"/>
    </xf>
    <xf numFmtId="167" fontId="26" fillId="41" borderId="0" xfId="0" applyNumberFormat="1" applyFont="1" applyFill="1" applyAlignment="1">
      <alignment horizontal="center" vertical="center" wrapText="1"/>
    </xf>
    <xf numFmtId="4" fontId="50" fillId="0" borderId="10" xfId="0" applyNumberFormat="1" applyFont="1" applyBorder="1" applyAlignment="1">
      <alignment horizontal="right" vertical="center" wrapText="1"/>
    </xf>
    <xf numFmtId="4" fontId="49" fillId="0" borderId="10" xfId="0" applyNumberFormat="1" applyFont="1" applyBorder="1" applyAlignment="1">
      <alignment horizontal="right" vertical="center" wrapText="1"/>
    </xf>
    <xf numFmtId="0" fontId="9" fillId="0" borderId="0" xfId="0" applyFont="1"/>
    <xf numFmtId="0" fontId="52" fillId="0" borderId="0" xfId="0" applyFont="1"/>
    <xf numFmtId="0" fontId="52" fillId="42" borderId="0" xfId="0" applyFont="1" applyFill="1"/>
    <xf numFmtId="0" fontId="9" fillId="0" borderId="0" xfId="0" applyFont="1" applyAlignment="1">
      <alignment horizontal="center" wrapText="1"/>
    </xf>
    <xf numFmtId="0" fontId="9" fillId="0" borderId="10" xfId="0" applyFont="1" applyBorder="1" applyAlignment="1">
      <alignment horizontal="center" wrapText="1"/>
    </xf>
    <xf numFmtId="0" fontId="53" fillId="2" borderId="40" xfId="0" applyFont="1" applyFill="1" applyBorder="1" applyAlignment="1">
      <alignment vertical="center" wrapText="1"/>
    </xf>
    <xf numFmtId="0" fontId="45" fillId="8" borderId="10" xfId="0" applyFont="1" applyFill="1" applyBorder="1" applyAlignment="1">
      <alignment horizontal="center" wrapText="1"/>
    </xf>
    <xf numFmtId="167" fontId="45" fillId="0" borderId="10" xfId="0" applyNumberFormat="1" applyFont="1" applyBorder="1" applyAlignment="1">
      <alignment horizontal="center"/>
    </xf>
    <xf numFmtId="0" fontId="45" fillId="0" borderId="10" xfId="0" applyFont="1" applyBorder="1" applyAlignment="1">
      <alignment horizontal="center" wrapText="1"/>
    </xf>
    <xf numFmtId="0" fontId="9" fillId="0" borderId="0" xfId="0" applyFont="1" applyAlignment="1">
      <alignment horizontal="center" vertical="center"/>
    </xf>
    <xf numFmtId="0" fontId="8" fillId="0" borderId="10" xfId="0" applyFont="1" applyBorder="1" applyAlignment="1">
      <alignment horizontal="center" vertical="center"/>
    </xf>
    <xf numFmtId="0" fontId="9" fillId="0" borderId="0" xfId="0" applyFont="1" applyAlignment="1">
      <alignment horizontal="right" vertical="center"/>
    </xf>
    <xf numFmtId="0" fontId="10" fillId="0" borderId="0" xfId="0" applyFont="1" applyAlignment="1">
      <alignment horizontal="center" vertical="center"/>
    </xf>
    <xf numFmtId="0" fontId="45" fillId="8" borderId="10" xfId="0" applyFont="1" applyFill="1" applyBorder="1" applyAlignment="1">
      <alignment horizontal="center" vertical="center"/>
    </xf>
    <xf numFmtId="0" fontId="45" fillId="0" borderId="0" xfId="0" applyFont="1" applyAlignment="1">
      <alignment horizontal="center" vertical="center"/>
    </xf>
    <xf numFmtId="0" fontId="45" fillId="0" borderId="10" xfId="0" applyFont="1" applyBorder="1" applyAlignment="1">
      <alignment horizontal="center" vertical="center"/>
    </xf>
    <xf numFmtId="167" fontId="0" fillId="0" borderId="0" xfId="0" applyNumberFormat="1" applyAlignment="1">
      <alignment horizontal="center" wrapText="1"/>
    </xf>
    <xf numFmtId="167" fontId="45" fillId="0" borderId="0" xfId="0" applyNumberFormat="1" applyFont="1" applyAlignment="1">
      <alignment horizontal="center" wrapText="1"/>
    </xf>
    <xf numFmtId="9" fontId="0" fillId="0" borderId="0" xfId="43" applyFont="1" applyAlignment="1">
      <alignment horizontal="center" wrapText="1"/>
    </xf>
    <xf numFmtId="0" fontId="0" fillId="0" borderId="10" xfId="0" applyBorder="1" applyAlignment="1">
      <alignment horizontal="left" vertical="center"/>
    </xf>
    <xf numFmtId="0" fontId="45" fillId="0" borderId="10" xfId="0" applyFont="1" applyBorder="1" applyAlignment="1">
      <alignment horizontal="left" vertical="center"/>
    </xf>
    <xf numFmtId="0" fontId="8" fillId="0" borderId="26" xfId="0" applyFont="1" applyBorder="1" applyAlignment="1">
      <alignment horizontal="center" vertical="center"/>
    </xf>
    <xf numFmtId="0" fontId="45" fillId="8" borderId="26" xfId="0" applyFont="1" applyFill="1" applyBorder="1" applyAlignment="1">
      <alignment horizontal="center" vertical="center"/>
    </xf>
    <xf numFmtId="0" fontId="45" fillId="0" borderId="26" xfId="0" applyFont="1" applyBorder="1" applyAlignment="1">
      <alignment horizontal="center" vertical="center"/>
    </xf>
    <xf numFmtId="167" fontId="0" fillId="41" borderId="10" xfId="0" applyNumberFormat="1" applyFill="1" applyBorder="1" applyAlignment="1">
      <alignment horizontal="center"/>
    </xf>
    <xf numFmtId="0" fontId="45" fillId="41" borderId="0" xfId="0" applyFont="1" applyFill="1" applyAlignment="1">
      <alignment horizontal="center" wrapText="1"/>
    </xf>
    <xf numFmtId="167" fontId="56" fillId="41" borderId="10" xfId="0" applyNumberFormat="1" applyFont="1" applyFill="1" applyBorder="1" applyAlignment="1">
      <alignment horizontal="center"/>
    </xf>
    <xf numFmtId="0" fontId="56" fillId="0" borderId="0" xfId="0" applyFont="1" applyAlignment="1">
      <alignment horizont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right" vertical="center" wrapText="1"/>
    </xf>
    <xf numFmtId="0" fontId="8" fillId="8" borderId="0" xfId="0" applyFont="1" applyFill="1" applyAlignment="1">
      <alignment horizontal="center" vertical="center" wrapText="1"/>
    </xf>
    <xf numFmtId="0" fontId="8" fillId="0" borderId="0" xfId="0" applyFont="1" applyAlignment="1">
      <alignment horizontal="center" vertical="center" wrapText="1"/>
    </xf>
    <xf numFmtId="0" fontId="2" fillId="4" borderId="10" xfId="0" applyFont="1" applyFill="1" applyBorder="1" applyAlignment="1">
      <alignment horizontal="left" vertical="center" wrapText="1"/>
    </xf>
    <xf numFmtId="9" fontId="8" fillId="0" borderId="0" xfId="43" applyFont="1" applyAlignment="1">
      <alignment horizontal="center" vertical="center" wrapText="1"/>
    </xf>
    <xf numFmtId="0" fontId="1" fillId="0" borderId="10" xfId="0" applyFont="1" applyBorder="1" applyAlignment="1">
      <alignment horizontal="center" vertical="center" wrapText="1"/>
    </xf>
    <xf numFmtId="4" fontId="1" fillId="0" borderId="10" xfId="0" applyNumberFormat="1" applyFont="1" applyBorder="1" applyAlignment="1">
      <alignment horizontal="center" vertical="center" wrapText="1"/>
    </xf>
    <xf numFmtId="4" fontId="0" fillId="0" borderId="0" xfId="0" applyNumberFormat="1" applyAlignment="1">
      <alignment horizontal="center" vertical="center" wrapText="1"/>
    </xf>
    <xf numFmtId="4" fontId="1" fillId="8" borderId="10" xfId="0" applyNumberFormat="1" applyFont="1" applyFill="1" applyBorder="1" applyAlignment="1">
      <alignment horizontal="center" vertical="center" wrapText="1"/>
    </xf>
    <xf numFmtId="4" fontId="2" fillId="0" borderId="10" xfId="0" applyNumberFormat="1" applyFont="1" applyBorder="1" applyAlignment="1">
      <alignment horizontal="center" vertical="center" wrapText="1"/>
    </xf>
    <xf numFmtId="0" fontId="3" fillId="0" borderId="10" xfId="0" applyFont="1" applyBorder="1" applyAlignment="1">
      <alignment horizontal="center" vertical="center" wrapText="1"/>
    </xf>
    <xf numFmtId="0" fontId="54" fillId="0" borderId="0" xfId="0" applyFont="1" applyAlignment="1">
      <alignment horizontal="left" vertical="center" wrapText="1"/>
    </xf>
    <xf numFmtId="1" fontId="6" fillId="0" borderId="10" xfId="0" applyNumberFormat="1" applyFont="1" applyBorder="1" applyAlignment="1">
      <alignment horizontal="center" vertical="center" wrapText="1"/>
    </xf>
    <xf numFmtId="4" fontId="2" fillId="8" borderId="10" xfId="0" applyNumberFormat="1" applyFont="1" applyFill="1" applyBorder="1" applyAlignment="1">
      <alignment horizontal="center" vertical="center" wrapText="1"/>
    </xf>
    <xf numFmtId="4" fontId="8" fillId="0" borderId="0" xfId="0" applyNumberFormat="1" applyFont="1" applyAlignment="1">
      <alignment horizontal="center" vertical="center" wrapText="1"/>
    </xf>
    <xf numFmtId="0" fontId="49" fillId="0" borderId="10" xfId="0" applyFont="1" applyBorder="1" applyAlignment="1">
      <alignment horizontal="left" vertical="center" wrapText="1"/>
    </xf>
    <xf numFmtId="0" fontId="50" fillId="0" borderId="10" xfId="0" applyFont="1" applyBorder="1" applyAlignment="1">
      <alignment horizontal="left" vertical="center" wrapText="1"/>
    </xf>
    <xf numFmtId="0" fontId="3" fillId="0" borderId="10" xfId="0" applyFont="1" applyBorder="1" applyAlignment="1">
      <alignment horizontal="right" vertical="center" wrapText="1"/>
    </xf>
    <xf numFmtId="4" fontId="3" fillId="0" borderId="10" xfId="0" applyNumberFormat="1" applyFont="1" applyBorder="1" applyAlignment="1">
      <alignment wrapText="1"/>
    </xf>
    <xf numFmtId="4" fontId="0" fillId="0" borderId="10" xfId="0" applyNumberFormat="1" applyBorder="1" applyAlignment="1">
      <alignment wrapText="1"/>
    </xf>
    <xf numFmtId="0" fontId="3" fillId="0" borderId="10" xfId="0" applyFont="1" applyBorder="1" applyAlignment="1">
      <alignment horizontal="right" wrapText="1"/>
    </xf>
    <xf numFmtId="4" fontId="0" fillId="0" borderId="10" xfId="0" applyNumberFormat="1" applyBorder="1" applyAlignment="1">
      <alignment horizontal="center" vertical="center" wrapText="1"/>
    </xf>
    <xf numFmtId="0" fontId="49" fillId="0" borderId="10" xfId="0" applyFont="1" applyBorder="1" applyAlignment="1">
      <alignment horizontal="right" vertical="center" wrapText="1"/>
    </xf>
    <xf numFmtId="0" fontId="50" fillId="0" borderId="10" xfId="0" applyFont="1" applyBorder="1" applyAlignment="1">
      <alignment horizontal="right" vertical="center" wrapText="1"/>
    </xf>
    <xf numFmtId="4" fontId="55" fillId="0" borderId="0" xfId="0" applyNumberFormat="1" applyFont="1" applyAlignment="1">
      <alignment horizontal="center" vertical="center" wrapText="1"/>
    </xf>
    <xf numFmtId="0" fontId="3" fillId="0" borderId="10" xfId="0" applyFont="1" applyBorder="1" applyAlignment="1">
      <alignment horizontal="left" vertical="center" wrapText="1"/>
    </xf>
    <xf numFmtId="0" fontId="8" fillId="0" borderId="10" xfId="0" applyFont="1" applyBorder="1" applyAlignment="1">
      <alignment horizontal="left" vertical="center" wrapText="1"/>
    </xf>
    <xf numFmtId="0" fontId="8" fillId="0" borderId="10" xfId="0" applyFont="1" applyBorder="1" applyAlignment="1">
      <alignment horizontal="center" vertical="center" wrapText="1"/>
    </xf>
    <xf numFmtId="0" fontId="49" fillId="43" borderId="10" xfId="0" applyFont="1" applyFill="1" applyBorder="1" applyAlignment="1">
      <alignment horizontal="right" vertical="center" wrapText="1"/>
    </xf>
    <xf numFmtId="4" fontId="49" fillId="43" borderId="10" xfId="0" applyNumberFormat="1" applyFont="1" applyFill="1" applyBorder="1" applyAlignment="1">
      <alignment horizontal="right" vertical="center" wrapText="1"/>
    </xf>
    <xf numFmtId="0" fontId="26" fillId="0" borderId="10" xfId="0" applyFont="1" applyBorder="1" applyAlignment="1">
      <alignment horizontal="center" vertical="center" wrapText="1"/>
    </xf>
    <xf numFmtId="167" fontId="27" fillId="0" borderId="10" xfId="0" applyNumberFormat="1" applyFont="1" applyBorder="1" applyAlignment="1">
      <alignment horizontal="center" vertical="center"/>
    </xf>
    <xf numFmtId="167" fontId="26" fillId="0" borderId="10" xfId="0" applyNumberFormat="1" applyFont="1" applyBorder="1" applyAlignment="1">
      <alignment horizontal="center" vertical="center" wrapText="1"/>
    </xf>
    <xf numFmtId="0" fontId="0" fillId="44" borderId="10" xfId="0" applyFill="1" applyBorder="1" applyAlignment="1">
      <alignment horizontal="center"/>
    </xf>
    <xf numFmtId="0" fontId="0" fillId="0" borderId="0" xfId="0" applyAlignment="1">
      <alignment horizontal="center"/>
    </xf>
    <xf numFmtId="10" fontId="8" fillId="0" borderId="0" xfId="43" applyNumberFormat="1" applyFont="1" applyAlignment="1">
      <alignment horizontal="center" vertical="center" wrapText="1"/>
    </xf>
    <xf numFmtId="0" fontId="45" fillId="5" borderId="10" xfId="0" applyFont="1" applyFill="1" applyBorder="1" applyAlignment="1">
      <alignment horizontal="center" vertical="center"/>
    </xf>
    <xf numFmtId="0" fontId="57" fillId="0" borderId="10" xfId="0" applyFont="1" applyBorder="1" applyAlignment="1">
      <alignment horizontal="center" vertical="center"/>
    </xf>
    <xf numFmtId="0" fontId="57" fillId="0" borderId="10" xfId="0" applyFont="1" applyBorder="1" applyAlignment="1">
      <alignment horizontal="center" vertical="center" wrapText="1"/>
    </xf>
    <xf numFmtId="167" fontId="58" fillId="0" borderId="10" xfId="0" applyNumberFormat="1" applyFont="1" applyBorder="1" applyAlignment="1">
      <alignment horizontal="center" vertical="center"/>
    </xf>
    <xf numFmtId="167" fontId="57" fillId="0" borderId="10" xfId="0" applyNumberFormat="1" applyFont="1" applyBorder="1" applyAlignment="1">
      <alignment horizontal="center" vertical="center" wrapText="1"/>
    </xf>
    <xf numFmtId="0" fontId="46" fillId="0" borderId="25" xfId="0" applyFont="1" applyBorder="1" applyAlignment="1">
      <alignment horizontal="center" vertical="center" wrapText="1"/>
    </xf>
    <xf numFmtId="0" fontId="46" fillId="0" borderId="24" xfId="0" applyFont="1" applyBorder="1" applyAlignment="1">
      <alignment horizontal="center" vertical="center" wrapText="1"/>
    </xf>
    <xf numFmtId="0" fontId="46" fillId="0" borderId="26" xfId="0" applyFont="1" applyBorder="1" applyAlignment="1">
      <alignment horizontal="center" vertical="center" wrapText="1"/>
    </xf>
    <xf numFmtId="0" fontId="27" fillId="0" borderId="10" xfId="0" applyFont="1" applyBorder="1" applyAlignment="1">
      <alignment horizontal="center" vertical="center"/>
    </xf>
    <xf numFmtId="0" fontId="26" fillId="0" borderId="10" xfId="0" applyFont="1" applyBorder="1" applyAlignment="1">
      <alignment horizontal="center" vertical="center"/>
    </xf>
    <xf numFmtId="0" fontId="0" fillId="41" borderId="0" xfId="0" applyFill="1" applyAlignment="1">
      <alignment horizontal="left" wrapText="1"/>
    </xf>
    <xf numFmtId="0" fontId="0" fillId="8" borderId="0" xfId="0" applyFill="1" applyAlignment="1">
      <alignment horizontal="left" wrapText="1"/>
    </xf>
    <xf numFmtId="0" fontId="0" fillId="9" borderId="0" xfId="0" applyFill="1" applyAlignment="1">
      <alignment horizontal="left" wrapText="1"/>
    </xf>
    <xf numFmtId="0" fontId="29" fillId="9" borderId="25" xfId="0" applyFont="1" applyFill="1" applyBorder="1" applyAlignment="1">
      <alignment horizontal="center" vertical="center" wrapText="1"/>
    </xf>
    <xf numFmtId="0" fontId="29" fillId="9" borderId="24" xfId="0" applyFont="1" applyFill="1" applyBorder="1" applyAlignment="1">
      <alignment horizontal="center" vertical="center" wrapText="1"/>
    </xf>
    <xf numFmtId="0" fontId="29" fillId="9" borderId="26" xfId="0" applyFont="1" applyFill="1" applyBorder="1" applyAlignment="1">
      <alignment horizontal="center" vertical="center" wrapText="1"/>
    </xf>
    <xf numFmtId="0" fontId="0" fillId="0" borderId="10" xfId="0" applyBorder="1" applyAlignment="1">
      <alignment horizontal="center" wrapText="1"/>
    </xf>
    <xf numFmtId="0" fontId="0" fillId="5" borderId="0" xfId="0" applyFill="1" applyAlignment="1">
      <alignment horizontal="left" wrapText="1"/>
    </xf>
    <xf numFmtId="0" fontId="28" fillId="5" borderId="10" xfId="0" applyFont="1" applyFill="1" applyBorder="1" applyAlignment="1">
      <alignment horizontal="center" vertical="center" wrapText="1"/>
    </xf>
    <xf numFmtId="0" fontId="2" fillId="0" borderId="10" xfId="0" applyFont="1" applyBorder="1" applyAlignment="1">
      <alignment horizontal="right" vertical="center" wrapText="1"/>
    </xf>
    <xf numFmtId="0" fontId="0" fillId="0" borderId="26" xfId="0" applyBorder="1" applyAlignment="1">
      <alignment horizontal="center" vertical="center" wrapText="1"/>
    </xf>
    <xf numFmtId="0" fontId="0" fillId="0" borderId="10" xfId="0" applyBorder="1" applyAlignment="1">
      <alignment horizontal="center" vertical="center" wrapText="1"/>
    </xf>
    <xf numFmtId="0" fontId="0" fillId="0" borderId="25" xfId="0" applyBorder="1" applyAlignment="1">
      <alignment horizontal="center" vertical="center" wrapText="1"/>
    </xf>
    <xf numFmtId="0" fontId="3" fillId="0" borderId="10" xfId="0" applyFont="1" applyBorder="1" applyAlignment="1">
      <alignment horizontal="center" vertical="center" wrapText="1"/>
    </xf>
    <xf numFmtId="0" fontId="0" fillId="0" borderId="24" xfId="0" applyBorder="1" applyAlignment="1">
      <alignment horizontal="center" vertical="center" wrapText="1"/>
    </xf>
    <xf numFmtId="0" fontId="3" fillId="4" borderId="10" xfId="0" applyFont="1" applyFill="1" applyBorder="1" applyAlignment="1">
      <alignment horizontal="center" vertical="center" wrapText="1"/>
    </xf>
    <xf numFmtId="0" fontId="2" fillId="0" borderId="25" xfId="0" applyFont="1" applyBorder="1" applyAlignment="1">
      <alignment horizontal="right" vertical="center" wrapText="1"/>
    </xf>
    <xf numFmtId="0" fontId="2" fillId="0" borderId="24" xfId="0" applyFont="1" applyBorder="1" applyAlignment="1">
      <alignment horizontal="right" vertical="center" wrapText="1"/>
    </xf>
    <xf numFmtId="0" fontId="2" fillId="0" borderId="26" xfId="0" applyFont="1" applyBorder="1" applyAlignment="1">
      <alignment horizontal="right" vertical="center" wrapText="1"/>
    </xf>
    <xf numFmtId="0" fontId="16" fillId="0" borderId="0" xfId="1" applyFont="1" applyAlignment="1">
      <alignment horizontal="left" vertical="top" wrapText="1"/>
    </xf>
    <xf numFmtId="0" fontId="17" fillId="6" borderId="7" xfId="1" applyFont="1" applyFill="1" applyBorder="1" applyAlignment="1">
      <alignment vertical="top"/>
    </xf>
    <xf numFmtId="0" fontId="16" fillId="6" borderId="8" xfId="1" applyFont="1" applyFill="1" applyBorder="1" applyAlignment="1">
      <alignment vertical="top"/>
    </xf>
    <xf numFmtId="0" fontId="17" fillId="6" borderId="40" xfId="1" applyFont="1" applyFill="1" applyBorder="1" applyAlignment="1">
      <alignment horizontal="left" vertical="top"/>
    </xf>
    <xf numFmtId="0" fontId="16" fillId="6" borderId="24" xfId="1" applyFont="1" applyFill="1" applyBorder="1" applyAlignment="1">
      <alignment vertical="top"/>
    </xf>
    <xf numFmtId="0" fontId="16" fillId="0" borderId="16" xfId="1" applyFont="1" applyBorder="1" applyAlignment="1">
      <alignment vertical="center"/>
    </xf>
    <xf numFmtId="0" fontId="16" fillId="0" borderId="44" xfId="1" applyFont="1" applyBorder="1" applyAlignment="1">
      <alignment vertical="center"/>
    </xf>
    <xf numFmtId="0" fontId="16" fillId="0" borderId="37" xfId="1" applyFont="1" applyBorder="1" applyAlignment="1">
      <alignment vertical="center"/>
    </xf>
    <xf numFmtId="0" fontId="17" fillId="6" borderId="25" xfId="1" applyFont="1" applyFill="1" applyBorder="1" applyAlignment="1">
      <alignment vertical="top"/>
    </xf>
    <xf numFmtId="0" fontId="16" fillId="6" borderId="26" xfId="1" applyFont="1" applyFill="1" applyBorder="1" applyAlignment="1">
      <alignment vertical="top"/>
    </xf>
    <xf numFmtId="0" fontId="17" fillId="6" borderId="25" xfId="1" applyFont="1" applyFill="1" applyBorder="1" applyAlignment="1">
      <alignment horizontal="left" vertical="top"/>
    </xf>
    <xf numFmtId="0" fontId="23" fillId="0" borderId="48" xfId="1" applyFont="1" applyBorder="1"/>
    <xf numFmtId="0" fontId="23" fillId="0" borderId="42" xfId="1" applyFont="1" applyBorder="1"/>
    <xf numFmtId="0" fontId="23" fillId="0" borderId="49" xfId="1" applyFont="1" applyBorder="1"/>
    <xf numFmtId="0" fontId="23" fillId="0" borderId="25" xfId="1" applyFont="1" applyBorder="1"/>
    <xf numFmtId="0" fontId="23" fillId="0" borderId="24" xfId="1" applyFont="1" applyBorder="1"/>
    <xf numFmtId="0" fontId="23" fillId="0" borderId="26" xfId="1" applyFont="1" applyBorder="1"/>
    <xf numFmtId="0" fontId="24" fillId="6" borderId="7" xfId="1" applyFont="1" applyFill="1" applyBorder="1"/>
    <xf numFmtId="0" fontId="24" fillId="6" borderId="8" xfId="1" applyFont="1" applyFill="1" applyBorder="1"/>
    <xf numFmtId="0" fontId="24" fillId="6" borderId="2" xfId="1" applyFont="1" applyFill="1" applyBorder="1"/>
    <xf numFmtId="0" fontId="17" fillId="6" borderId="7" xfId="1" applyFont="1" applyFill="1" applyBorder="1"/>
    <xf numFmtId="0" fontId="17" fillId="6" borderId="8" xfId="1" applyFont="1" applyFill="1" applyBorder="1"/>
    <xf numFmtId="0" fontId="17" fillId="6" borderId="2" xfId="1" applyFont="1" applyFill="1" applyBorder="1"/>
    <xf numFmtId="0" fontId="17" fillId="0" borderId="7" xfId="1" applyFont="1" applyBorder="1"/>
    <xf numFmtId="0" fontId="17" fillId="0" borderId="8" xfId="1" applyFont="1" applyBorder="1"/>
    <xf numFmtId="0" fontId="17" fillId="0" borderId="11" xfId="1" applyFont="1" applyBorder="1"/>
    <xf numFmtId="0" fontId="17" fillId="0" borderId="2" xfId="1" applyFont="1" applyBorder="1"/>
    <xf numFmtId="0" fontId="23" fillId="0" borderId="27" xfId="1" applyFont="1" applyBorder="1"/>
    <xf numFmtId="0" fontId="23" fillId="0" borderId="0" xfId="1" applyFont="1"/>
    <xf numFmtId="0" fontId="24" fillId="0" borderId="7" xfId="1" applyFont="1" applyBorder="1"/>
    <xf numFmtId="0" fontId="24" fillId="0" borderId="8" xfId="1" applyFont="1" applyBorder="1"/>
    <xf numFmtId="0" fontId="24" fillId="0" borderId="2" xfId="1" applyFont="1" applyBorder="1"/>
    <xf numFmtId="0" fontId="23" fillId="0" borderId="13" xfId="1" applyFont="1" applyBorder="1"/>
    <xf numFmtId="0" fontId="23" fillId="0" borderId="14" xfId="1" applyFont="1" applyBorder="1"/>
    <xf numFmtId="0" fontId="1" fillId="0" borderId="7" xfId="0" applyFont="1" applyBorder="1" applyAlignment="1">
      <alignment horizontal="right" vertical="center" wrapText="1"/>
    </xf>
    <xf numFmtId="0" fontId="1" fillId="0" borderId="8" xfId="0" applyFont="1" applyBorder="1" applyAlignment="1">
      <alignment horizontal="right" vertical="center" wrapText="1"/>
    </xf>
    <xf numFmtId="0" fontId="1" fillId="0" borderId="9" xfId="0" applyFont="1" applyBorder="1" applyAlignment="1">
      <alignment horizontal="right" vertical="center" wrapText="1"/>
    </xf>
    <xf numFmtId="0" fontId="1" fillId="0" borderId="2" xfId="0" applyFont="1" applyBorder="1" applyAlignment="1">
      <alignment horizontal="right" vertical="center" wrapText="1"/>
    </xf>
    <xf numFmtId="0" fontId="7" fillId="0" borderId="7" xfId="0" applyFont="1" applyBorder="1" applyAlignment="1">
      <alignment horizontal="center"/>
    </xf>
    <xf numFmtId="0" fontId="7" fillId="0" borderId="8" xfId="0" applyFont="1" applyBorder="1" applyAlignment="1">
      <alignment horizontal="center"/>
    </xf>
    <xf numFmtId="0" fontId="7" fillId="0" borderId="2" xfId="0" applyFont="1" applyBorder="1" applyAlignment="1">
      <alignment horizontal="center"/>
    </xf>
    <xf numFmtId="0" fontId="2" fillId="3" borderId="6"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1" fillId="0" borderId="13" xfId="0" applyFont="1" applyBorder="1" applyAlignment="1">
      <alignment horizontal="right" vertical="center" wrapText="1"/>
    </xf>
    <xf numFmtId="0" fontId="1" fillId="0" borderId="14" xfId="0" applyFont="1" applyBorder="1" applyAlignment="1">
      <alignment horizontal="right" vertical="center" wrapText="1"/>
    </xf>
    <xf numFmtId="0" fontId="1" fillId="0" borderId="15" xfId="0" applyFont="1" applyBorder="1" applyAlignment="1">
      <alignment horizontal="right"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1" fillId="0" borderId="7" xfId="0" applyFont="1" applyBorder="1" applyAlignment="1">
      <alignment horizontal="right" vertical="center"/>
    </xf>
    <xf numFmtId="0" fontId="1" fillId="0" borderId="8" xfId="0" applyFont="1" applyBorder="1" applyAlignment="1">
      <alignment horizontal="right" vertical="center"/>
    </xf>
    <xf numFmtId="0" fontId="1" fillId="0" borderId="9" xfId="0" applyFont="1" applyBorder="1" applyAlignment="1">
      <alignment horizontal="right" vertical="center"/>
    </xf>
    <xf numFmtId="0" fontId="2" fillId="3" borderId="6" xfId="0" applyFont="1" applyFill="1" applyBorder="1" applyAlignment="1">
      <alignment horizontal="center" vertical="center"/>
    </xf>
    <xf numFmtId="0" fontId="2" fillId="3" borderId="12" xfId="0" applyFont="1" applyFill="1" applyBorder="1" applyAlignment="1">
      <alignment horizontal="center" vertical="center"/>
    </xf>
    <xf numFmtId="4" fontId="0" fillId="0" borderId="0" xfId="0" applyNumberFormat="1" applyAlignment="1">
      <alignment horizontal="center" wrapText="1"/>
    </xf>
    <xf numFmtId="0" fontId="57" fillId="0" borderId="26" xfId="0" applyFont="1" applyBorder="1" applyAlignment="1">
      <alignment horizontal="center" vertical="center" wrapText="1"/>
    </xf>
    <xf numFmtId="167" fontId="58" fillId="0" borderId="26" xfId="0" applyNumberFormat="1" applyFont="1" applyBorder="1" applyAlignment="1">
      <alignment horizontal="center" vertical="center"/>
    </xf>
    <xf numFmtId="167" fontId="57" fillId="0" borderId="26" xfId="0" applyNumberFormat="1" applyFont="1" applyBorder="1" applyAlignment="1">
      <alignment horizontal="center" vertical="center" wrapText="1"/>
    </xf>
    <xf numFmtId="0" fontId="58" fillId="0" borderId="10" xfId="0" applyFont="1" applyBorder="1" applyAlignment="1">
      <alignment horizontal="center" vertical="center"/>
    </xf>
    <xf numFmtId="0" fontId="58" fillId="0" borderId="10" xfId="0" applyFont="1" applyBorder="1" applyAlignment="1">
      <alignment horizontal="center" vertical="center" wrapText="1"/>
    </xf>
    <xf numFmtId="167" fontId="1" fillId="0" borderId="10" xfId="0" applyNumberFormat="1" applyFont="1" applyBorder="1"/>
    <xf numFmtId="4" fontId="58" fillId="0" borderId="10" xfId="0" applyNumberFormat="1" applyFont="1" applyBorder="1" applyAlignment="1">
      <alignment horizontal="center" vertical="center" wrapText="1"/>
    </xf>
    <xf numFmtId="167" fontId="58" fillId="0" borderId="10" xfId="0" applyNumberFormat="1" applyFont="1" applyBorder="1" applyAlignment="1">
      <alignment horizontal="center" vertical="center" wrapText="1"/>
    </xf>
    <xf numFmtId="167" fontId="0" fillId="0" borderId="10" xfId="0" applyNumberFormat="1" applyBorder="1" applyAlignment="1">
      <alignment horizontal="center" wrapText="1"/>
    </xf>
    <xf numFmtId="0" fontId="57" fillId="0" borderId="10" xfId="0" applyFont="1" applyBorder="1" applyAlignment="1">
      <alignment horizontal="center" vertical="center"/>
    </xf>
    <xf numFmtId="167" fontId="0" fillId="0" borderId="10" xfId="0" applyNumberFormat="1" applyBorder="1" applyAlignment="1">
      <alignment horizontal="left" wrapText="1"/>
    </xf>
    <xf numFmtId="0" fontId="2" fillId="3" borderId="10" xfId="0" applyFont="1" applyFill="1" applyBorder="1" applyAlignment="1">
      <alignment horizontal="center" vertical="center"/>
    </xf>
    <xf numFmtId="2" fontId="58" fillId="0" borderId="10" xfId="0" applyNumberFormat="1" applyFont="1" applyBorder="1" applyAlignment="1">
      <alignment horizontal="center" vertical="center" wrapText="1"/>
    </xf>
    <xf numFmtId="2" fontId="57" fillId="0" borderId="10" xfId="0" applyNumberFormat="1" applyFont="1" applyBorder="1" applyAlignment="1">
      <alignment horizontal="center" vertical="center" wrapText="1"/>
    </xf>
    <xf numFmtId="0" fontId="26" fillId="3" borderId="1" xfId="0" applyFont="1" applyFill="1" applyBorder="1" applyAlignment="1">
      <alignment horizontal="center" vertical="center" wrapText="1"/>
    </xf>
    <xf numFmtId="0" fontId="26" fillId="3" borderId="2" xfId="0" applyFont="1" applyFill="1" applyBorder="1" applyAlignment="1">
      <alignment horizontal="center" vertical="center" wrapText="1"/>
    </xf>
    <xf numFmtId="167" fontId="0" fillId="0" borderId="0" xfId="0" applyNumberFormat="1"/>
    <xf numFmtId="0" fontId="0" fillId="0" borderId="0" xfId="0" applyAlignment="1">
      <alignment horizontal="center"/>
    </xf>
    <xf numFmtId="0" fontId="0" fillId="0" borderId="11" xfId="0" applyBorder="1" applyAlignment="1">
      <alignment horizontal="center"/>
    </xf>
    <xf numFmtId="0" fontId="26" fillId="3" borderId="10" xfId="0" applyFont="1" applyFill="1" applyBorder="1" applyAlignment="1">
      <alignment horizontal="center" vertical="center" wrapText="1"/>
    </xf>
    <xf numFmtId="0" fontId="0" fillId="0" borderId="10" xfId="0" applyBorder="1"/>
    <xf numFmtId="167" fontId="0" fillId="0" borderId="10" xfId="0" applyNumberFormat="1" applyBorder="1"/>
    <xf numFmtId="0" fontId="0" fillId="5" borderId="10" xfId="0" applyFill="1" applyBorder="1"/>
    <xf numFmtId="167" fontId="0" fillId="5" borderId="10" xfId="0" applyNumberFormat="1" applyFill="1" applyBorder="1"/>
    <xf numFmtId="0" fontId="0" fillId="5" borderId="0" xfId="0" applyFill="1"/>
    <xf numFmtId="0" fontId="0" fillId="0" borderId="0" xfId="0" applyBorder="1" applyAlignment="1">
      <alignment horizontal="center"/>
    </xf>
    <xf numFmtId="0" fontId="0" fillId="0" borderId="0" xfId="0" applyAlignment="1">
      <alignment horizontal="center" wrapText="1"/>
    </xf>
  </cellXfs>
  <cellStyles count="45">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3" builtinId="16" customBuiltin="1"/>
    <cellStyle name="Encabezado 4" xfId="6"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Incorrecto" xfId="8" builtinId="27" customBuiltin="1"/>
    <cellStyle name="Millares 2" xfId="44" xr:uid="{5D429B56-EA3F-47E5-A537-C3C7E2CA4B4E}"/>
    <cellStyle name="Neutral" xfId="9" builtinId="28" customBuiltin="1"/>
    <cellStyle name="Normal" xfId="0" builtinId="0"/>
    <cellStyle name="Normal 2" xfId="1" xr:uid="{0308DB79-8ED8-444A-886B-A9295C3B635A}"/>
    <cellStyle name="Notas" xfId="16" builtinId="10" customBuiltin="1"/>
    <cellStyle name="Porcentaje" xfId="43" builtinId="5"/>
    <cellStyle name="Salida" xfId="11" builtinId="21" customBuiltin="1"/>
    <cellStyle name="Texto de advertencia" xfId="15" builtinId="11" customBuiltin="1"/>
    <cellStyle name="Texto explicativo" xfId="17" builtinId="53" customBuiltin="1"/>
    <cellStyle name="Título" xfId="2" builtinId="15" customBuiltin="1"/>
    <cellStyle name="Título 2" xfId="4" builtinId="17" customBuiltin="1"/>
    <cellStyle name="Título 3" xfId="5" builtinId="18" customBuiltin="1"/>
    <cellStyle name="Total" xfId="18" builtinId="25" customBuiltin="1"/>
  </cellStyles>
  <dxfs count="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FF0000"/>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20</xdr:col>
      <xdr:colOff>331470</xdr:colOff>
      <xdr:row>0</xdr:row>
      <xdr:rowOff>167640</xdr:rowOff>
    </xdr:from>
    <xdr:to>
      <xdr:col>25</xdr:col>
      <xdr:colOff>320040</xdr:colOff>
      <xdr:row>40</xdr:row>
      <xdr:rowOff>142879</xdr:rowOff>
    </xdr:to>
    <xdr:sp macro="" textlink="">
      <xdr:nvSpPr>
        <xdr:cNvPr id="2" name="Text Box 4">
          <a:extLst>
            <a:ext uri="{FF2B5EF4-FFF2-40B4-BE49-F238E27FC236}">
              <a16:creationId xmlns:a16="http://schemas.microsoft.com/office/drawing/2014/main" id="{400575AB-B95B-492E-AA24-7EE5B88A21BD}"/>
            </a:ext>
          </a:extLst>
        </xdr:cNvPr>
        <xdr:cNvSpPr txBox="1">
          <a:spLocks noChangeArrowheads="1"/>
        </xdr:cNvSpPr>
      </xdr:nvSpPr>
      <xdr:spPr bwMode="auto">
        <a:xfrm>
          <a:off x="18295620" y="167640"/>
          <a:ext cx="3798570" cy="7157089"/>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s-ES" sz="1000" b="0" i="0" u="none" strike="noStrike" baseline="0">
              <a:solidFill>
                <a:srgbClr val="000000"/>
              </a:solidFill>
              <a:latin typeface="Arial"/>
              <a:cs typeface="Arial"/>
            </a:rPr>
            <a:t>Notas a Version Febrero 2008:</a:t>
          </a:r>
        </a:p>
        <a:p>
          <a:pPr algn="l" rtl="0">
            <a:defRPr sz="1000"/>
          </a:pPr>
          <a:endParaRPr lang="es-ES" sz="1000" b="0" i="0" u="none" strike="noStrike" baseline="0">
            <a:solidFill>
              <a:srgbClr val="000000"/>
            </a:solidFill>
            <a:latin typeface="Arial"/>
            <a:cs typeface="Arial"/>
          </a:endParaRPr>
        </a:p>
        <a:p>
          <a:pPr algn="l" rtl="0">
            <a:defRPr sz="1000"/>
          </a:pPr>
          <a:r>
            <a:rPr lang="es-ES" sz="1000" b="1" i="0" u="none" strike="noStrike" baseline="0">
              <a:solidFill>
                <a:srgbClr val="000000"/>
              </a:solidFill>
              <a:latin typeface="Arial"/>
              <a:cs typeface="Arial"/>
            </a:rPr>
            <a:t>INTRUCCIONES:</a:t>
          </a:r>
          <a:endParaRPr lang="es-ES" sz="1000" b="0" i="0" u="none" strike="noStrike" baseline="0">
            <a:solidFill>
              <a:srgbClr val="000000"/>
            </a:solidFill>
            <a:latin typeface="Arial"/>
            <a:cs typeface="Arial"/>
          </a:endParaRPr>
        </a:p>
        <a:p>
          <a:pPr algn="l" rtl="0">
            <a:defRPr sz="1000"/>
          </a:pPr>
          <a:r>
            <a:rPr lang="es-ES" sz="1000" b="1" i="0" u="none" strike="noStrike" baseline="0">
              <a:solidFill>
                <a:srgbClr val="000000"/>
              </a:solidFill>
              <a:latin typeface="Arial"/>
              <a:cs typeface="Arial"/>
            </a:rPr>
            <a:t>a) </a:t>
          </a:r>
          <a:r>
            <a:rPr lang="es-ES" sz="1000" b="0" i="0" u="none" strike="noStrike" baseline="0">
              <a:solidFill>
                <a:srgbClr val="000000"/>
              </a:solidFill>
              <a:latin typeface="Arial"/>
              <a:cs typeface="Arial"/>
            </a:rPr>
            <a:t>rellenar con X los materiales en la hoja "Lista MAM"</a:t>
          </a:r>
        </a:p>
        <a:p>
          <a:pPr algn="l" rtl="0">
            <a:defRPr sz="1000"/>
          </a:pPr>
          <a:r>
            <a:rPr lang="es-ES" sz="1000" b="1" i="0" u="none" strike="noStrike" baseline="0">
              <a:solidFill>
                <a:srgbClr val="000000"/>
              </a:solidFill>
              <a:latin typeface="Arial"/>
              <a:cs typeface="Arial"/>
            </a:rPr>
            <a:t>b)</a:t>
          </a:r>
          <a:r>
            <a:rPr lang="es-ES" sz="1000" b="0" i="0" u="none" strike="noStrike" baseline="0">
              <a:solidFill>
                <a:srgbClr val="000000"/>
              </a:solidFill>
              <a:latin typeface="Arial"/>
              <a:cs typeface="Arial"/>
            </a:rPr>
            <a:t> rellenar los cuadros en amarillo de los datos de Obra Nueva en la hoja "Resumen"</a:t>
          </a:r>
        </a:p>
        <a:p>
          <a:pPr algn="l" rtl="0">
            <a:defRPr sz="1000"/>
          </a:pPr>
          <a:endParaRPr lang="es-ES" sz="1000" b="0" i="0" u="none" strike="noStrike" baseline="0">
            <a:solidFill>
              <a:srgbClr val="000000"/>
            </a:solidFill>
            <a:latin typeface="Arial"/>
            <a:cs typeface="Arial"/>
          </a:endParaRPr>
        </a:p>
        <a:p>
          <a:pPr algn="l" rtl="0">
            <a:defRPr sz="1000"/>
          </a:pPr>
          <a:endParaRPr lang="es-ES" sz="1000" b="0" i="0" u="none" strike="noStrike" baseline="0">
            <a:solidFill>
              <a:srgbClr val="000000"/>
            </a:solidFill>
            <a:latin typeface="Arial"/>
            <a:cs typeface="Arial"/>
          </a:endParaRPr>
        </a:p>
        <a:p>
          <a:pPr algn="l" rtl="0">
            <a:defRPr sz="1000"/>
          </a:pPr>
          <a:r>
            <a:rPr lang="es-ES" sz="1000" b="1" i="0" u="none" strike="noStrike" baseline="0">
              <a:solidFill>
                <a:srgbClr val="000000"/>
              </a:solidFill>
              <a:latin typeface="Arial"/>
              <a:cs typeface="Arial"/>
            </a:rPr>
            <a:t>ESTIMACIONES:</a:t>
          </a:r>
          <a:endParaRPr lang="es-ES" sz="1000" b="0" i="0" u="none" strike="noStrike" baseline="0">
            <a:solidFill>
              <a:srgbClr val="000000"/>
            </a:solidFill>
            <a:latin typeface="Arial"/>
            <a:cs typeface="Arial"/>
          </a:endParaRPr>
        </a:p>
        <a:p>
          <a:pPr algn="l" rtl="0">
            <a:defRPr sz="1000"/>
          </a:pPr>
          <a:r>
            <a:rPr lang="es-ES" sz="1000" b="1" i="0" u="none" strike="noStrike" baseline="0">
              <a:solidFill>
                <a:srgbClr val="000000"/>
              </a:solidFill>
              <a:latin typeface="Arial"/>
              <a:cs typeface="Arial"/>
            </a:rPr>
            <a:t>1,-</a:t>
          </a:r>
          <a:r>
            <a:rPr lang="es-ES" sz="1000" b="0" i="0" u="none" strike="noStrike" baseline="0">
              <a:solidFill>
                <a:srgbClr val="000000"/>
              </a:solidFill>
              <a:latin typeface="Arial"/>
              <a:cs typeface="Arial"/>
            </a:rPr>
            <a:t> La presente hoja se encuentra vinculada a la memoria en formato word de gestión de RCD</a:t>
          </a:r>
        </a:p>
        <a:p>
          <a:pPr algn="l" rtl="0">
            <a:defRPr sz="1000"/>
          </a:pPr>
          <a:endParaRPr lang="es-ES" sz="1000" b="0" i="0" u="none" strike="noStrike" baseline="0">
            <a:solidFill>
              <a:srgbClr val="000000"/>
            </a:solidFill>
            <a:latin typeface="Arial"/>
            <a:cs typeface="Arial"/>
          </a:endParaRPr>
        </a:p>
        <a:p>
          <a:pPr algn="l" rtl="0">
            <a:defRPr sz="1000"/>
          </a:pPr>
          <a:r>
            <a:rPr lang="es-ES" sz="1000" b="1" i="0" u="none" strike="noStrike" baseline="0">
              <a:solidFill>
                <a:srgbClr val="000000"/>
              </a:solidFill>
              <a:latin typeface="Arial"/>
              <a:cs typeface="Arial"/>
            </a:rPr>
            <a:t>2,-</a:t>
          </a:r>
          <a:r>
            <a:rPr lang="es-ES" sz="1000" b="0" i="0" u="none" strike="noStrike" baseline="0">
              <a:solidFill>
                <a:srgbClr val="000000"/>
              </a:solidFill>
              <a:latin typeface="Arial"/>
              <a:cs typeface="Arial"/>
            </a:rPr>
            <a:t> Los porcentajes (</a:t>
          </a:r>
          <a:r>
            <a:rPr lang="es-ES" sz="1100" b="1" i="0" u="none" strike="noStrike" baseline="0">
              <a:solidFill>
                <a:srgbClr val="000000"/>
              </a:solidFill>
              <a:latin typeface="Arial"/>
              <a:cs typeface="Arial"/>
            </a:rPr>
            <a:t>%</a:t>
          </a:r>
          <a:r>
            <a:rPr lang="es-ES" sz="1000" b="0" i="0" u="none" strike="noStrike" baseline="0">
              <a:solidFill>
                <a:srgbClr val="000000"/>
              </a:solidFill>
              <a:latin typeface="Arial"/>
              <a:cs typeface="Arial"/>
            </a:rPr>
            <a:t>) se extraen del Plan Nacional de Residuos 2001 - 2006. Se basan en los estudios realizados en la Comunidad de Madrid para obra nueva. El Plan RCD de la CAM 2002-2011 establece valores ligeramente diferentes, pero siempre se tarta de una estimación variable en función del tipo de obra</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Estos porcentajes pueden ser modificados para otro tipo de obras siempre que su suma total sea 100%</a:t>
          </a:r>
        </a:p>
        <a:p>
          <a:pPr algn="l" rtl="0">
            <a:defRPr sz="1000"/>
          </a:pPr>
          <a:endParaRPr lang="es-ES" sz="1000" b="0" i="0" u="none" strike="noStrike" baseline="0">
            <a:solidFill>
              <a:srgbClr val="000000"/>
            </a:solidFill>
            <a:latin typeface="Arial"/>
            <a:cs typeface="Arial"/>
          </a:endParaRPr>
        </a:p>
        <a:p>
          <a:pPr algn="l" rtl="0">
            <a:defRPr sz="1000"/>
          </a:pPr>
          <a:endParaRPr lang="es-ES" sz="1000" b="0" i="0" u="none" strike="noStrike" baseline="0">
            <a:solidFill>
              <a:srgbClr val="000000"/>
            </a:solidFill>
            <a:latin typeface="Arial"/>
            <a:cs typeface="Arial"/>
          </a:endParaRPr>
        </a:p>
        <a:p>
          <a:pPr algn="l" rtl="0">
            <a:defRPr sz="1000"/>
          </a:pPr>
          <a:r>
            <a:rPr lang="es-ES" sz="1000" b="1" i="0" u="none" strike="noStrike" baseline="0">
              <a:solidFill>
                <a:srgbClr val="000000"/>
              </a:solidFill>
              <a:latin typeface="Arial"/>
              <a:cs typeface="Arial"/>
            </a:rPr>
            <a:t>3,-</a:t>
          </a:r>
          <a:r>
            <a:rPr lang="es-ES" sz="1000" b="0" i="0" u="none" strike="noStrike" baseline="0">
              <a:solidFill>
                <a:srgbClr val="000000"/>
              </a:solidFill>
              <a:latin typeface="Arial"/>
              <a:cs typeface="Arial"/>
            </a:rPr>
            <a:t> El volumen de tierras se extrae directamente de los datos y previsiones de proyecto. </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En el punto 6,4 del Plan RCD de la CAM 2002-2011 se estima que de la totalidad de residuos de una obra nueva el 32% son tierras y productos inertes no recuperables que pasarán a depósito, al 20% serán de tipología variada entregados a cada gestor y el 48% pasará a plantas de reciclaje, con un rechazo estimado del 17%.</a:t>
          </a:r>
        </a:p>
        <a:p>
          <a:pPr algn="l" rtl="0">
            <a:defRPr sz="1000"/>
          </a:pPr>
          <a:endParaRPr lang="es-ES" sz="1000" b="0" i="0" u="none" strike="noStrike" baseline="0">
            <a:solidFill>
              <a:srgbClr val="000000"/>
            </a:solidFill>
            <a:latin typeface="Arial"/>
            <a:cs typeface="Arial"/>
          </a:endParaRPr>
        </a:p>
        <a:p>
          <a:pPr algn="l" rtl="0">
            <a:defRPr sz="1000"/>
          </a:pPr>
          <a:endParaRPr lang="es-ES" sz="1000" b="0" i="0" u="none" strike="noStrike" baseline="0">
            <a:solidFill>
              <a:srgbClr val="000000"/>
            </a:solidFill>
            <a:latin typeface="Arial"/>
            <a:cs typeface="Arial"/>
          </a:endParaRPr>
        </a:p>
        <a:p>
          <a:pPr algn="l" rtl="0">
            <a:defRPr sz="1000"/>
          </a:pPr>
          <a:r>
            <a:rPr lang="es-ES" sz="1000" b="1" i="0" u="none" strike="noStrike" baseline="0">
              <a:solidFill>
                <a:srgbClr val="000000"/>
              </a:solidFill>
              <a:latin typeface="Arial"/>
              <a:cs typeface="Arial"/>
            </a:rPr>
            <a:t>4,-</a:t>
          </a:r>
          <a:r>
            <a:rPr lang="es-ES" sz="1000" b="0" i="0" u="none" strike="noStrike" baseline="0">
              <a:solidFill>
                <a:srgbClr val="000000"/>
              </a:solidFill>
              <a:latin typeface="Arial"/>
              <a:cs typeface="Arial"/>
            </a:rPr>
            <a:t> Los destinos y Tratamientos son configurables y se encuentran al final de la hoja "Resumen", se han estimado los referidos en el Plan Nacional Integrado de Residuos 2007-2015.</a:t>
          </a:r>
        </a:p>
        <a:p>
          <a:pPr algn="l" rtl="0">
            <a:defRPr sz="1000"/>
          </a:pPr>
          <a:endParaRPr lang="es-ES" sz="1000" b="0" i="0" u="none" strike="noStrike" baseline="0">
            <a:solidFill>
              <a:srgbClr val="000000"/>
            </a:solidFill>
            <a:latin typeface="Arial"/>
            <a:cs typeface="Arial"/>
          </a:endParaRPr>
        </a:p>
        <a:p>
          <a:pPr algn="l" rtl="0">
            <a:defRPr sz="1000"/>
          </a:pPr>
          <a:r>
            <a:rPr lang="es-ES" sz="1000" b="0" i="0" u="none" strike="noStrike" baseline="0">
              <a:solidFill>
                <a:srgbClr val="000000"/>
              </a:solidFill>
              <a:latin typeface="Arial"/>
              <a:cs typeface="Arial"/>
            </a:rPr>
            <a:t>Más información:</a:t>
          </a:r>
        </a:p>
        <a:p>
          <a:pPr algn="l" rtl="0">
            <a:defRPr sz="1000"/>
          </a:pPr>
          <a:r>
            <a:rPr lang="es-ES" sz="1000" b="0" i="0" u="none" strike="noStrike" baseline="0">
              <a:solidFill>
                <a:srgbClr val="000000"/>
              </a:solidFill>
              <a:latin typeface="Arial"/>
              <a:cs typeface="Arial"/>
            </a:rPr>
            <a:t>-Plan Nacional Integrado de Residuos 2001 -2006 y 2007 - 2015</a:t>
          </a:r>
        </a:p>
        <a:p>
          <a:pPr algn="l" rtl="0">
            <a:defRPr sz="1000"/>
          </a:pPr>
          <a:r>
            <a:rPr lang="es-ES" sz="1000" b="0" i="0" u="none" strike="noStrike" baseline="0">
              <a:solidFill>
                <a:srgbClr val="000000"/>
              </a:solidFill>
              <a:latin typeface="Arial"/>
              <a:cs typeface="Arial"/>
            </a:rPr>
            <a:t>-RD 105_2008</a:t>
          </a:r>
        </a:p>
        <a:p>
          <a:pPr algn="l" rtl="0">
            <a:defRPr sz="1000"/>
          </a:pPr>
          <a:r>
            <a:rPr lang="es-ES" sz="1000" b="0" i="0" u="none" strike="noStrike" baseline="0">
              <a:solidFill>
                <a:srgbClr val="000000"/>
              </a:solidFill>
              <a:latin typeface="Arial"/>
              <a:cs typeface="Arial"/>
            </a:rPr>
            <a:t>-Plan RCD de la CAM 2002-2011</a:t>
          </a:r>
        </a:p>
        <a:p>
          <a:pPr algn="l" rtl="0">
            <a:defRPr sz="1000"/>
          </a:pPr>
          <a:r>
            <a:rPr lang="es-ES" sz="1000" b="0" i="0" u="none" strike="noStrike" baseline="0">
              <a:solidFill>
                <a:srgbClr val="000000"/>
              </a:solidFill>
              <a:latin typeface="Arial"/>
              <a:cs typeface="Arial"/>
            </a:rPr>
            <a:t>-Orden 2690_2006 dela CAM</a:t>
          </a:r>
        </a:p>
        <a:p>
          <a:pPr algn="l" rtl="0">
            <a:defRPr sz="1000"/>
          </a:pPr>
          <a:endParaRPr lang="es-ES" sz="1000" b="0" i="0" u="none" strike="noStrike" baseline="0">
            <a:solidFill>
              <a:srgbClr val="000000"/>
            </a:solidFill>
            <a:latin typeface="Arial"/>
            <a:cs typeface="Arial"/>
          </a:endParaRPr>
        </a:p>
        <a:p>
          <a:pPr algn="l" rtl="0">
            <a:defRPr sz="1000"/>
          </a:pPr>
          <a:endParaRPr lang="es-ES" sz="1000" b="0" i="0" u="none" strike="noStrike" baseline="0">
            <a:solidFill>
              <a:srgbClr val="000000"/>
            </a:solidFill>
            <a:latin typeface="Arial"/>
            <a:cs typeface="Arial"/>
          </a:endParaRPr>
        </a:p>
        <a:p>
          <a:pPr algn="l" rtl="0">
            <a:defRPr sz="1000"/>
          </a:pPr>
          <a:endParaRPr lang="es-ES" sz="1000" b="0" i="0" u="none" strike="noStrike" baseline="0">
            <a:solidFill>
              <a:srgbClr val="000000"/>
            </a:solidFill>
            <a:latin typeface="Arial"/>
            <a:cs typeface="Arial"/>
          </a:endParaRPr>
        </a:p>
        <a:p>
          <a:pPr algn="l" rtl="0">
            <a:defRPr sz="1000"/>
          </a:pPr>
          <a:endParaRPr lang="es-ES" sz="1000" b="0" i="0" u="none" strike="noStrike" baseline="0">
            <a:solidFill>
              <a:srgbClr val="000000"/>
            </a:solidFill>
            <a:latin typeface="Arial"/>
            <a:cs typeface="Arial"/>
          </a:endParaRPr>
        </a:p>
        <a:p>
          <a:pPr algn="l" rtl="0">
            <a:defRPr sz="1000"/>
          </a:pPr>
          <a:endParaRPr lang="es-ES"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520B0-8375-4A9C-913D-6B395F369F25}">
  <dimension ref="A1:C22"/>
  <sheetViews>
    <sheetView workbookViewId="0">
      <selection activeCell="B15" sqref="B15"/>
    </sheetView>
  </sheetViews>
  <sheetFormatPr baseColWidth="10" defaultRowHeight="15" x14ac:dyDescent="0.25"/>
  <cols>
    <col min="2" max="2" width="108.7109375" bestFit="1" customWidth="1"/>
  </cols>
  <sheetData>
    <row r="1" spans="1:2" x14ac:dyDescent="0.25">
      <c r="A1">
        <v>1</v>
      </c>
      <c r="B1" t="s">
        <v>569</v>
      </c>
    </row>
    <row r="2" spans="1:2" x14ac:dyDescent="0.25">
      <c r="A2">
        <v>2</v>
      </c>
      <c r="B2" t="s">
        <v>570</v>
      </c>
    </row>
    <row r="3" spans="1:2" x14ac:dyDescent="0.25">
      <c r="A3">
        <v>3</v>
      </c>
      <c r="B3" s="209" t="s">
        <v>571</v>
      </c>
    </row>
    <row r="4" spans="1:2" x14ac:dyDescent="0.25">
      <c r="A4">
        <v>4</v>
      </c>
      <c r="B4" s="209" t="s">
        <v>572</v>
      </c>
    </row>
    <row r="6" spans="1:2" x14ac:dyDescent="0.25">
      <c r="A6">
        <v>6</v>
      </c>
      <c r="B6" t="s">
        <v>573</v>
      </c>
    </row>
    <row r="7" spans="1:2" s="210" customFormat="1" x14ac:dyDescent="0.25">
      <c r="A7" s="211">
        <v>7</v>
      </c>
      <c r="B7" s="211" t="s">
        <v>574</v>
      </c>
    </row>
    <row r="8" spans="1:2" x14ac:dyDescent="0.25">
      <c r="A8">
        <v>8</v>
      </c>
      <c r="B8" t="s">
        <v>575</v>
      </c>
    </row>
    <row r="9" spans="1:2" x14ac:dyDescent="0.25">
      <c r="A9">
        <v>9</v>
      </c>
      <c r="B9" t="s">
        <v>591</v>
      </c>
    </row>
    <row r="10" spans="1:2" x14ac:dyDescent="0.25">
      <c r="B10" t="s">
        <v>592</v>
      </c>
    </row>
    <row r="11" spans="1:2" x14ac:dyDescent="0.25">
      <c r="B11" t="s">
        <v>593</v>
      </c>
    </row>
    <row r="22" spans="3:3" x14ac:dyDescent="0.25">
      <c r="C22" t="s">
        <v>576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9B43-8438-4FD2-A65F-ED0161C0D588}">
  <dimension ref="A1:AN103"/>
  <sheetViews>
    <sheetView showGridLines="0" tabSelected="1" topLeftCell="A33" zoomScale="85" zoomScaleNormal="85" workbookViewId="0">
      <selection activeCell="I39" sqref="I39"/>
    </sheetView>
  </sheetViews>
  <sheetFormatPr baseColWidth="10" defaultColWidth="28.85546875" defaultRowHeight="15" x14ac:dyDescent="0.25"/>
  <cols>
    <col min="1" max="1" width="49.42578125" style="162" customWidth="1"/>
    <col min="2" max="4" width="19.140625" style="162" customWidth="1"/>
    <col min="5" max="5" width="13.5703125" style="162" bestFit="1" customWidth="1"/>
    <col min="6" max="7" width="13.5703125" style="162" customWidth="1"/>
    <col min="8" max="8" width="17.5703125" style="162" bestFit="1" customWidth="1"/>
    <col min="9" max="9" width="12.5703125" style="162" customWidth="1"/>
    <col min="10" max="10" width="15.7109375" style="162" bestFit="1" customWidth="1"/>
    <col min="11" max="11" width="18.42578125" style="162" bestFit="1" customWidth="1"/>
    <col min="12" max="13" width="12.5703125" style="162" customWidth="1"/>
    <col min="14" max="14" width="36.7109375" style="162" customWidth="1"/>
    <col min="15" max="15" width="18.7109375" style="162" customWidth="1"/>
    <col min="16" max="17" width="12.5703125" style="162" customWidth="1"/>
    <col min="18" max="18" width="11.5703125" style="187" bestFit="1" customWidth="1"/>
    <col min="19" max="20" width="9" style="187" customWidth="1"/>
    <col min="21" max="23" width="9" style="162" customWidth="1"/>
    <col min="24" max="24" width="9" style="187" customWidth="1"/>
    <col min="25" max="25" width="11.5703125" style="187" bestFit="1" customWidth="1"/>
    <col min="26" max="26" width="71.7109375" style="187" customWidth="1"/>
    <col min="27" max="29" width="9.28515625" style="187" customWidth="1"/>
    <col min="30" max="32" width="10.28515625" style="187" customWidth="1"/>
    <col min="33" max="16384" width="28.85546875" style="162"/>
  </cols>
  <sheetData>
    <row r="1" spans="1:32" x14ac:dyDescent="0.25">
      <c r="A1" s="176" t="s">
        <v>501</v>
      </c>
    </row>
    <row r="2" spans="1:32" x14ac:dyDescent="0.25">
      <c r="B2" s="291" t="s">
        <v>486</v>
      </c>
      <c r="C2" s="291"/>
      <c r="D2" s="291"/>
      <c r="E2" s="291"/>
      <c r="F2" s="291"/>
      <c r="G2" s="291"/>
      <c r="H2" s="291"/>
    </row>
    <row r="3" spans="1:32" ht="30" x14ac:dyDescent="0.25">
      <c r="A3" s="164" t="s">
        <v>502</v>
      </c>
      <c r="B3" s="7" t="s">
        <v>10</v>
      </c>
      <c r="C3" s="7"/>
      <c r="D3" s="7"/>
      <c r="E3" s="7" t="s">
        <v>11</v>
      </c>
      <c r="F3" s="7"/>
      <c r="G3" s="7"/>
      <c r="H3" s="7" t="s">
        <v>12</v>
      </c>
      <c r="I3" s="7" t="s">
        <v>528</v>
      </c>
      <c r="J3" s="7" t="s">
        <v>529</v>
      </c>
      <c r="K3" s="7" t="s">
        <v>530</v>
      </c>
    </row>
    <row r="4" spans="1:32" x14ac:dyDescent="0.25">
      <c r="A4" s="166" t="s">
        <v>503</v>
      </c>
      <c r="B4" s="7">
        <v>93</v>
      </c>
      <c r="C4" s="7"/>
      <c r="D4" s="7"/>
      <c r="E4" s="7">
        <v>32.5</v>
      </c>
      <c r="F4" s="7"/>
      <c r="G4" s="7"/>
      <c r="H4" s="165">
        <v>37.4</v>
      </c>
      <c r="I4" s="186">
        <v>3</v>
      </c>
      <c r="J4" s="186">
        <v>0</v>
      </c>
      <c r="K4" s="186">
        <v>3</v>
      </c>
    </row>
    <row r="5" spans="1:32" x14ac:dyDescent="0.25">
      <c r="A5" s="166" t="s">
        <v>482</v>
      </c>
      <c r="B5" s="7">
        <v>90</v>
      </c>
      <c r="C5" s="7"/>
      <c r="D5" s="7"/>
      <c r="E5" s="7">
        <v>32</v>
      </c>
      <c r="F5" s="7"/>
      <c r="G5" s="7"/>
      <c r="H5" s="165">
        <v>36.159999999999997</v>
      </c>
      <c r="I5" s="186">
        <v>3</v>
      </c>
      <c r="J5" s="186">
        <v>0</v>
      </c>
      <c r="K5" s="186">
        <v>3</v>
      </c>
      <c r="L5" s="164"/>
    </row>
    <row r="6" spans="1:32" x14ac:dyDescent="0.25">
      <c r="A6" s="166" t="s">
        <v>484</v>
      </c>
      <c r="B6" s="7">
        <v>40</v>
      </c>
      <c r="C6" s="7"/>
      <c r="D6" s="7"/>
      <c r="E6" s="7">
        <v>28</v>
      </c>
      <c r="F6" s="7"/>
      <c r="G6" s="7"/>
      <c r="H6" s="165">
        <v>31.639999999999997</v>
      </c>
      <c r="I6" s="186">
        <v>3</v>
      </c>
      <c r="J6" s="186">
        <v>3</v>
      </c>
      <c r="K6" s="186">
        <v>0</v>
      </c>
    </row>
    <row r="7" spans="1:32" x14ac:dyDescent="0.25">
      <c r="A7" s="166" t="s">
        <v>485</v>
      </c>
      <c r="B7" s="7">
        <v>70</v>
      </c>
      <c r="C7" s="7"/>
      <c r="D7" s="7"/>
      <c r="E7" s="7">
        <v>31</v>
      </c>
      <c r="F7" s="7"/>
      <c r="G7" s="7"/>
      <c r="H7" s="165">
        <f>+E7*H5/E5</f>
        <v>35.029999999999994</v>
      </c>
      <c r="I7" s="186">
        <v>6</v>
      </c>
      <c r="J7" s="186">
        <v>0</v>
      </c>
      <c r="K7" s="186">
        <v>6</v>
      </c>
    </row>
    <row r="9" spans="1:32" x14ac:dyDescent="0.25">
      <c r="A9" s="167"/>
      <c r="B9" s="162" t="s">
        <v>487</v>
      </c>
    </row>
    <row r="10" spans="1:32" x14ac:dyDescent="0.25">
      <c r="A10" s="172">
        <v>1</v>
      </c>
      <c r="B10" s="292" t="s">
        <v>500</v>
      </c>
      <c r="C10" s="292"/>
      <c r="D10" s="292"/>
      <c r="E10" s="292"/>
      <c r="F10" s="292"/>
      <c r="G10" s="292"/>
      <c r="H10" s="292"/>
      <c r="I10" s="292"/>
      <c r="J10" s="292"/>
    </row>
    <row r="11" spans="1:32" x14ac:dyDescent="0.25">
      <c r="A11" s="173">
        <v>2</v>
      </c>
      <c r="B11" s="286" t="s">
        <v>488</v>
      </c>
      <c r="C11" s="286"/>
      <c r="D11" s="286"/>
      <c r="E11" s="286"/>
      <c r="F11" s="286"/>
      <c r="G11" s="286"/>
      <c r="H11" s="286"/>
      <c r="I11" s="286"/>
      <c r="J11" s="286"/>
    </row>
    <row r="12" spans="1:32" x14ac:dyDescent="0.25">
      <c r="A12" s="174">
        <v>3</v>
      </c>
      <c r="B12" s="287" t="s">
        <v>489</v>
      </c>
      <c r="C12" s="287"/>
      <c r="D12" s="287"/>
      <c r="E12" s="287"/>
      <c r="F12" s="287"/>
      <c r="G12" s="287"/>
      <c r="H12" s="287"/>
      <c r="I12" s="287"/>
      <c r="J12" s="287"/>
      <c r="U12" s="175" t="s">
        <v>496</v>
      </c>
      <c r="V12" s="175" t="s">
        <v>497</v>
      </c>
      <c r="W12" s="175" t="s">
        <v>498</v>
      </c>
    </row>
    <row r="13" spans="1:32" ht="23.25" x14ac:dyDescent="0.25">
      <c r="A13" s="293" t="s">
        <v>494</v>
      </c>
      <c r="B13" s="293"/>
      <c r="C13" s="293"/>
      <c r="D13" s="293"/>
      <c r="E13" s="293"/>
      <c r="F13" s="293"/>
      <c r="G13" s="293"/>
      <c r="H13" s="293"/>
      <c r="I13" s="293"/>
      <c r="J13" s="293"/>
      <c r="K13" s="293"/>
      <c r="L13" s="293"/>
      <c r="M13" s="293"/>
      <c r="N13" s="293"/>
      <c r="O13" s="293"/>
      <c r="P13" s="293"/>
      <c r="Q13" s="293"/>
      <c r="R13" s="280" t="s">
        <v>495</v>
      </c>
      <c r="S13" s="281"/>
      <c r="T13" s="282"/>
      <c r="U13" s="288" t="s">
        <v>499</v>
      </c>
      <c r="V13" s="289"/>
      <c r="W13" s="290"/>
      <c r="X13" s="280" t="s">
        <v>534</v>
      </c>
      <c r="Y13" s="281"/>
      <c r="Z13" s="282"/>
      <c r="AA13" s="280" t="s">
        <v>535</v>
      </c>
      <c r="AB13" s="281"/>
      <c r="AC13" s="282"/>
      <c r="AD13" s="280" t="s">
        <v>536</v>
      </c>
      <c r="AE13" s="281"/>
      <c r="AF13" s="282"/>
    </row>
    <row r="14" spans="1:32" ht="45" x14ac:dyDescent="0.25">
      <c r="A14" s="168" t="s">
        <v>469</v>
      </c>
      <c r="B14" s="168" t="s">
        <v>470</v>
      </c>
      <c r="C14" s="168"/>
      <c r="D14" s="168"/>
      <c r="E14" s="168" t="s">
        <v>471</v>
      </c>
      <c r="F14" s="168"/>
      <c r="G14" s="168"/>
      <c r="H14" s="168" t="s">
        <v>472</v>
      </c>
      <c r="I14" s="168" t="s">
        <v>473</v>
      </c>
      <c r="J14" s="168" t="s">
        <v>474</v>
      </c>
      <c r="K14" s="168" t="s">
        <v>475</v>
      </c>
      <c r="L14" s="168" t="s">
        <v>476</v>
      </c>
      <c r="M14" s="168" t="s">
        <v>477</v>
      </c>
      <c r="N14" s="168" t="s">
        <v>478</v>
      </c>
      <c r="O14" s="168" t="s">
        <v>479</v>
      </c>
      <c r="P14" s="168" t="s">
        <v>480</v>
      </c>
      <c r="Q14" s="168" t="s">
        <v>481</v>
      </c>
      <c r="R14" s="188" t="s">
        <v>490</v>
      </c>
      <c r="S14" s="188" t="s">
        <v>491</v>
      </c>
      <c r="T14" s="188" t="s">
        <v>492</v>
      </c>
      <c r="U14" s="202" t="s">
        <v>490</v>
      </c>
      <c r="V14" s="202" t="s">
        <v>491</v>
      </c>
      <c r="W14" s="202" t="s">
        <v>492</v>
      </c>
      <c r="X14" s="188" t="s">
        <v>531</v>
      </c>
      <c r="Y14" s="188" t="s">
        <v>532</v>
      </c>
      <c r="Z14" s="188" t="s">
        <v>533</v>
      </c>
      <c r="AA14" s="188" t="s">
        <v>531</v>
      </c>
      <c r="AB14" s="188" t="s">
        <v>532</v>
      </c>
      <c r="AC14" s="188" t="s">
        <v>533</v>
      </c>
      <c r="AD14" s="188" t="s">
        <v>531</v>
      </c>
      <c r="AE14" s="188" t="s">
        <v>532</v>
      </c>
      <c r="AF14" s="188" t="s">
        <v>533</v>
      </c>
    </row>
    <row r="15" spans="1:32" x14ac:dyDescent="0.25">
      <c r="A15" s="169"/>
      <c r="B15" s="169"/>
      <c r="C15" s="169"/>
      <c r="D15" s="169"/>
      <c r="E15" s="169"/>
      <c r="F15" s="169"/>
      <c r="G15" s="169"/>
      <c r="H15" s="169"/>
      <c r="I15" s="169"/>
      <c r="J15" s="169"/>
      <c r="K15" s="169"/>
      <c r="L15" s="169"/>
      <c r="M15" s="170"/>
      <c r="N15" s="170"/>
      <c r="O15" s="169"/>
      <c r="P15" s="169"/>
      <c r="Q15" s="169"/>
      <c r="R15" s="188"/>
      <c r="S15" s="188"/>
      <c r="T15" s="188"/>
      <c r="U15" s="175"/>
      <c r="V15" s="175"/>
      <c r="W15" s="175"/>
      <c r="X15" s="188"/>
      <c r="Y15" s="188"/>
      <c r="Z15" s="188"/>
      <c r="AA15" s="188"/>
      <c r="AB15" s="188"/>
      <c r="AC15" s="188"/>
      <c r="AD15" s="188"/>
      <c r="AE15" s="188"/>
      <c r="AF15" s="188"/>
    </row>
    <row r="16" spans="1:32" x14ac:dyDescent="0.25">
      <c r="Q16" s="162" t="s">
        <v>493</v>
      </c>
      <c r="R16" s="188">
        <f t="shared" ref="R16:AF16" si="0">SUM(R15:R15)</f>
        <v>0</v>
      </c>
      <c r="S16" s="188">
        <f t="shared" si="0"/>
        <v>0</v>
      </c>
      <c r="T16" s="188">
        <f t="shared" si="0"/>
        <v>0</v>
      </c>
      <c r="U16" s="175">
        <f t="shared" si="0"/>
        <v>0</v>
      </c>
      <c r="V16" s="175">
        <f t="shared" si="0"/>
        <v>0</v>
      </c>
      <c r="W16" s="175">
        <f t="shared" si="0"/>
        <v>0</v>
      </c>
      <c r="X16" s="188">
        <f t="shared" si="0"/>
        <v>0</v>
      </c>
      <c r="Y16" s="188">
        <f t="shared" si="0"/>
        <v>0</v>
      </c>
      <c r="Z16" s="188">
        <f t="shared" si="0"/>
        <v>0</v>
      </c>
      <c r="AA16" s="188">
        <f t="shared" si="0"/>
        <v>0</v>
      </c>
      <c r="AB16" s="188">
        <f t="shared" si="0"/>
        <v>0</v>
      </c>
      <c r="AC16" s="188">
        <f t="shared" si="0"/>
        <v>0</v>
      </c>
      <c r="AD16" s="188">
        <f t="shared" si="0"/>
        <v>0</v>
      </c>
      <c r="AE16" s="188">
        <f t="shared" si="0"/>
        <v>0</v>
      </c>
      <c r="AF16" s="188">
        <f t="shared" si="0"/>
        <v>0</v>
      </c>
    </row>
    <row r="17" spans="1:32" x14ac:dyDescent="0.25">
      <c r="A17" s="171"/>
      <c r="B17" s="5"/>
      <c r="C17" s="5"/>
      <c r="D17" s="5"/>
      <c r="E17" s="5"/>
      <c r="F17" s="5"/>
      <c r="G17" s="5"/>
      <c r="H17" s="5"/>
      <c r="I17" s="5"/>
      <c r="J17" s="5"/>
      <c r="K17" s="5"/>
      <c r="L17" s="5"/>
      <c r="M17" s="5"/>
      <c r="N17" s="5"/>
      <c r="O17" s="5"/>
      <c r="P17" s="5"/>
      <c r="Q17" s="5"/>
    </row>
    <row r="18" spans="1:32" ht="45" x14ac:dyDescent="0.25">
      <c r="A18" s="171"/>
      <c r="B18" s="5"/>
      <c r="C18" s="5"/>
      <c r="D18" s="5"/>
      <c r="E18" s="5"/>
      <c r="F18" s="5"/>
      <c r="G18" s="5"/>
      <c r="H18" s="5"/>
      <c r="I18" s="5"/>
      <c r="J18" s="5"/>
      <c r="K18" s="5"/>
      <c r="L18" s="5"/>
      <c r="M18" s="5"/>
      <c r="N18" s="5"/>
      <c r="O18" s="5"/>
      <c r="P18" s="5"/>
      <c r="Q18" s="5"/>
      <c r="R18" s="187" t="s">
        <v>504</v>
      </c>
      <c r="X18" s="188" t="s">
        <v>531</v>
      </c>
      <c r="Y18" s="188" t="s">
        <v>532</v>
      </c>
      <c r="Z18" s="188" t="s">
        <v>533</v>
      </c>
      <c r="AA18" s="188" t="s">
        <v>531</v>
      </c>
      <c r="AB18" s="188" t="s">
        <v>532</v>
      </c>
      <c r="AC18" s="188" t="s">
        <v>533</v>
      </c>
      <c r="AD18" s="188" t="s">
        <v>531</v>
      </c>
      <c r="AE18" s="188" t="s">
        <v>532</v>
      </c>
      <c r="AF18" s="188" t="s">
        <v>533</v>
      </c>
    </row>
    <row r="19" spans="1:32" x14ac:dyDescent="0.25">
      <c r="A19" s="171"/>
      <c r="B19" s="5"/>
      <c r="C19" s="5"/>
      <c r="D19" s="5"/>
      <c r="E19" s="5"/>
      <c r="F19" s="5"/>
      <c r="G19" s="5"/>
      <c r="H19" s="5"/>
      <c r="I19" s="5"/>
      <c r="J19" s="5"/>
      <c r="K19" s="5"/>
      <c r="L19" s="5"/>
      <c r="M19" s="5"/>
      <c r="N19" s="5"/>
      <c r="O19" s="5"/>
      <c r="P19" s="5"/>
      <c r="Q19" s="5"/>
      <c r="R19" s="187" t="e">
        <f>+R16/U16</f>
        <v>#DIV/0!</v>
      </c>
      <c r="S19" s="187" t="e">
        <f t="shared" ref="S19:T19" si="1">+S16/V16</f>
        <v>#DIV/0!</v>
      </c>
      <c r="T19" s="187" t="e">
        <f t="shared" si="1"/>
        <v>#DIV/0!</v>
      </c>
      <c r="X19" s="280" t="s">
        <v>534</v>
      </c>
      <c r="Y19" s="281"/>
      <c r="Z19" s="282"/>
      <c r="AA19" s="280" t="s">
        <v>535</v>
      </c>
      <c r="AB19" s="281"/>
      <c r="AC19" s="282"/>
      <c r="AD19" s="280" t="s">
        <v>536</v>
      </c>
      <c r="AE19" s="281"/>
      <c r="AF19" s="282"/>
    </row>
    <row r="20" spans="1:32" x14ac:dyDescent="0.25">
      <c r="A20" s="176" t="s">
        <v>577</v>
      </c>
    </row>
    <row r="21" spans="1:32" x14ac:dyDescent="0.25">
      <c r="A21" s="167"/>
      <c r="B21" s="162" t="s">
        <v>487</v>
      </c>
    </row>
    <row r="22" spans="1:32" x14ac:dyDescent="0.25">
      <c r="A22" s="203">
        <v>1</v>
      </c>
      <c r="B22" s="285" t="s">
        <v>513</v>
      </c>
      <c r="C22" s="285"/>
      <c r="D22" s="285"/>
      <c r="E22" s="285"/>
      <c r="F22" s="285"/>
      <c r="G22" s="285"/>
      <c r="H22" s="285"/>
      <c r="I22" s="285"/>
      <c r="J22" s="285"/>
      <c r="K22" s="177" t="s">
        <v>524</v>
      </c>
      <c r="L22" s="177">
        <v>0.97299999999999998</v>
      </c>
    </row>
    <row r="23" spans="1:32" x14ac:dyDescent="0.25">
      <c r="A23" s="173">
        <v>2</v>
      </c>
      <c r="B23" s="286" t="s">
        <v>488</v>
      </c>
      <c r="C23" s="286"/>
      <c r="D23" s="286"/>
      <c r="E23" s="286"/>
      <c r="F23" s="286"/>
      <c r="G23" s="286"/>
      <c r="H23" s="286"/>
      <c r="I23" s="286"/>
      <c r="J23" s="286"/>
      <c r="K23" s="177" t="s">
        <v>525</v>
      </c>
      <c r="L23" s="177">
        <v>0.68</v>
      </c>
    </row>
    <row r="24" spans="1:32" x14ac:dyDescent="0.25">
      <c r="A24" s="174">
        <v>3</v>
      </c>
      <c r="B24" s="287" t="s">
        <v>489</v>
      </c>
      <c r="C24" s="287"/>
      <c r="D24" s="287"/>
      <c r="E24" s="287"/>
      <c r="F24" s="287"/>
      <c r="G24" s="287"/>
      <c r="H24" s="287"/>
      <c r="I24" s="287"/>
      <c r="J24" s="287"/>
      <c r="K24" s="177" t="s">
        <v>526</v>
      </c>
      <c r="L24" s="177">
        <v>1.6</v>
      </c>
    </row>
    <row r="25" spans="1:32" x14ac:dyDescent="0.25">
      <c r="E25" s="177"/>
      <c r="F25" s="177"/>
      <c r="G25" s="177"/>
      <c r="J25" s="177"/>
    </row>
    <row r="26" spans="1:32" ht="36" x14ac:dyDescent="0.25">
      <c r="A26" s="276" t="s">
        <v>505</v>
      </c>
      <c r="B26" s="277" t="s">
        <v>506</v>
      </c>
      <c r="C26" s="277" t="s">
        <v>641</v>
      </c>
      <c r="D26" s="277" t="s">
        <v>642</v>
      </c>
      <c r="E26" s="277" t="s">
        <v>507</v>
      </c>
      <c r="F26" s="277" t="s">
        <v>641</v>
      </c>
      <c r="G26" s="277" t="s">
        <v>642</v>
      </c>
      <c r="H26" s="276" t="s">
        <v>508</v>
      </c>
      <c r="I26" s="277" t="s">
        <v>509</v>
      </c>
      <c r="J26" s="277" t="s">
        <v>510</v>
      </c>
      <c r="L26" s="372" t="s">
        <v>506</v>
      </c>
      <c r="M26" s="372" t="s">
        <v>14</v>
      </c>
      <c r="N26" s="372" t="s">
        <v>645</v>
      </c>
      <c r="O26" s="372" t="s">
        <v>646</v>
      </c>
      <c r="P26" s="372" t="s">
        <v>647</v>
      </c>
      <c r="Q26" s="372" t="s">
        <v>648</v>
      </c>
      <c r="R26" s="372" t="s">
        <v>649</v>
      </c>
    </row>
    <row r="27" spans="1:32" ht="30" x14ac:dyDescent="0.25">
      <c r="A27" s="364">
        <v>1</v>
      </c>
      <c r="B27" s="365" t="s">
        <v>643</v>
      </c>
      <c r="C27" s="369">
        <v>472975.9509</v>
      </c>
      <c r="D27" s="369">
        <v>4388875.8008000003</v>
      </c>
      <c r="E27" s="365" t="s">
        <v>644</v>
      </c>
      <c r="F27" s="369">
        <v>472666.02850000001</v>
      </c>
      <c r="G27" s="371">
        <v>4388926.0465000002</v>
      </c>
      <c r="H27" s="364" t="s">
        <v>511</v>
      </c>
      <c r="I27" s="364">
        <v>1</v>
      </c>
      <c r="J27" s="373">
        <v>427</v>
      </c>
      <c r="L27" s="365" t="s">
        <v>643</v>
      </c>
      <c r="M27" s="163"/>
      <c r="N27" s="369">
        <f>C27</f>
        <v>472975.9509</v>
      </c>
      <c r="O27" s="369">
        <f>D27</f>
        <v>4388875.8008000003</v>
      </c>
      <c r="P27" s="163" t="s">
        <v>650</v>
      </c>
      <c r="Q27" s="163" t="s">
        <v>651</v>
      </c>
      <c r="R27" s="217" t="s">
        <v>652</v>
      </c>
    </row>
    <row r="28" spans="1:32" ht="30" x14ac:dyDescent="0.25">
      <c r="A28" s="370" t="s">
        <v>512</v>
      </c>
      <c r="B28" s="370"/>
      <c r="C28" s="370"/>
      <c r="D28" s="370"/>
      <c r="E28" s="370"/>
      <c r="F28" s="370"/>
      <c r="G28" s="370"/>
      <c r="H28" s="370"/>
      <c r="I28" s="370"/>
      <c r="J28" s="374">
        <f>J27</f>
        <v>427</v>
      </c>
      <c r="L28" s="365" t="s">
        <v>644</v>
      </c>
      <c r="M28" s="163"/>
      <c r="N28" s="369">
        <v>472666.02850000001</v>
      </c>
      <c r="O28" s="371">
        <v>4388926.0465000002</v>
      </c>
      <c r="P28" s="163" t="s">
        <v>650</v>
      </c>
      <c r="Q28" s="163" t="s">
        <v>651</v>
      </c>
      <c r="R28" s="217" t="s">
        <v>652</v>
      </c>
    </row>
    <row r="29" spans="1:32" x14ac:dyDescent="0.25">
      <c r="E29" s="177"/>
      <c r="F29" s="177"/>
      <c r="G29" s="177"/>
      <c r="J29" s="177"/>
    </row>
    <row r="30" spans="1:32" x14ac:dyDescent="0.25">
      <c r="E30" s="177"/>
      <c r="F30" s="177"/>
      <c r="G30" s="177"/>
      <c r="J30" s="177"/>
    </row>
    <row r="31" spans="1:32" x14ac:dyDescent="0.25">
      <c r="E31" s="177"/>
      <c r="F31" s="177"/>
    </row>
    <row r="32" spans="1:32" x14ac:dyDescent="0.25">
      <c r="E32" s="177"/>
      <c r="F32" s="177"/>
      <c r="G32" s="177"/>
      <c r="J32" s="177"/>
    </row>
    <row r="33" spans="1:40" x14ac:dyDescent="0.25">
      <c r="E33" s="177"/>
      <c r="F33" s="177"/>
      <c r="G33" s="177"/>
      <c r="J33" s="177"/>
    </row>
    <row r="34" spans="1:40" x14ac:dyDescent="0.25">
      <c r="E34" s="177"/>
      <c r="F34" s="177"/>
      <c r="G34" s="177"/>
      <c r="J34" s="177"/>
    </row>
    <row r="35" spans="1:40" x14ac:dyDescent="0.25">
      <c r="E35" s="177"/>
      <c r="F35" s="177"/>
      <c r="G35" s="177"/>
      <c r="J35" s="177"/>
    </row>
    <row r="36" spans="1:40" x14ac:dyDescent="0.25">
      <c r="A36" s="164" t="s">
        <v>522</v>
      </c>
      <c r="B36" s="182">
        <v>0.08</v>
      </c>
      <c r="C36" s="182"/>
      <c r="D36" s="182"/>
      <c r="E36" s="177"/>
      <c r="F36" s="177"/>
      <c r="G36" s="177"/>
      <c r="J36" s="177"/>
    </row>
    <row r="37" spans="1:40" ht="48" x14ac:dyDescent="0.25">
      <c r="A37" s="276" t="s">
        <v>505</v>
      </c>
      <c r="B37" s="277" t="s">
        <v>506</v>
      </c>
      <c r="C37" s="277" t="s">
        <v>641</v>
      </c>
      <c r="D37" s="277" t="s">
        <v>642</v>
      </c>
      <c r="E37" s="277" t="s">
        <v>507</v>
      </c>
      <c r="F37" s="277" t="s">
        <v>641</v>
      </c>
      <c r="G37" s="277" t="s">
        <v>642</v>
      </c>
      <c r="H37" s="276" t="s">
        <v>508</v>
      </c>
      <c r="I37" s="277" t="s">
        <v>509</v>
      </c>
      <c r="J37" s="277" t="s">
        <v>510</v>
      </c>
      <c r="K37" s="361" t="s">
        <v>616</v>
      </c>
      <c r="L37" s="277" t="s">
        <v>617</v>
      </c>
      <c r="M37" s="269"/>
      <c r="Q37" s="5"/>
    </row>
    <row r="38" spans="1:40" x14ac:dyDescent="0.25">
      <c r="A38" s="364">
        <v>1</v>
      </c>
      <c r="B38" s="365" t="s">
        <v>634</v>
      </c>
      <c r="C38" s="366">
        <v>474495.74939999997</v>
      </c>
      <c r="D38" s="366">
        <v>4388125.9106000001</v>
      </c>
      <c r="E38" s="365" t="s">
        <v>635</v>
      </c>
      <c r="F38" s="365"/>
      <c r="G38" s="163"/>
      <c r="H38" s="364" t="s">
        <v>511</v>
      </c>
      <c r="I38" s="364">
        <v>1</v>
      </c>
      <c r="J38" s="365">
        <v>3.31</v>
      </c>
      <c r="K38" s="361"/>
      <c r="L38" s="277"/>
      <c r="M38" s="269"/>
      <c r="N38" s="162" t="s">
        <v>638</v>
      </c>
      <c r="O38" s="360">
        <f>J38+J40</f>
        <v>2192.64</v>
      </c>
      <c r="Q38" s="5"/>
    </row>
    <row r="39" spans="1:40" x14ac:dyDescent="0.25">
      <c r="A39" s="364">
        <v>2</v>
      </c>
      <c r="B39" s="365" t="s">
        <v>636</v>
      </c>
      <c r="C39" s="366">
        <v>474491.4178</v>
      </c>
      <c r="D39" s="366">
        <v>4388134.9836999997</v>
      </c>
      <c r="E39" s="365" t="s">
        <v>635</v>
      </c>
      <c r="F39" s="365"/>
      <c r="G39" s="163"/>
      <c r="H39" s="364" t="s">
        <v>511</v>
      </c>
      <c r="I39" s="364">
        <v>2</v>
      </c>
      <c r="J39" s="365">
        <v>13.36</v>
      </c>
      <c r="K39" s="361"/>
      <c r="L39" s="277"/>
      <c r="M39" s="269"/>
      <c r="N39" s="162" t="s">
        <v>639</v>
      </c>
      <c r="O39" s="360">
        <f>J39+J40</f>
        <v>2202.69</v>
      </c>
      <c r="Q39" s="5"/>
    </row>
    <row r="40" spans="1:40" x14ac:dyDescent="0.25">
      <c r="A40" s="364">
        <v>3</v>
      </c>
      <c r="B40" s="365" t="s">
        <v>635</v>
      </c>
      <c r="C40" s="163"/>
      <c r="D40" s="163"/>
      <c r="E40" s="365" t="s">
        <v>637</v>
      </c>
      <c r="F40" s="366">
        <v>472979.5821</v>
      </c>
      <c r="G40" s="366">
        <v>4388842.7063999996</v>
      </c>
      <c r="H40" s="364" t="s">
        <v>511</v>
      </c>
      <c r="I40" s="364">
        <v>4</v>
      </c>
      <c r="J40" s="367">
        <v>2189.33</v>
      </c>
      <c r="K40" s="362">
        <v>0</v>
      </c>
      <c r="L40" s="278"/>
      <c r="M40" s="270"/>
      <c r="N40" s="162" t="s">
        <v>640</v>
      </c>
      <c r="O40" s="225">
        <f>SUM(O38:O39)</f>
        <v>4395.33</v>
      </c>
      <c r="Q40" s="5"/>
    </row>
    <row r="41" spans="1:40" x14ac:dyDescent="0.25">
      <c r="A41" s="283" t="s">
        <v>626</v>
      </c>
      <c r="B41" s="283"/>
      <c r="C41" s="283"/>
      <c r="D41" s="283"/>
      <c r="E41" s="283"/>
      <c r="F41" s="283"/>
      <c r="G41" s="283"/>
      <c r="H41" s="283"/>
      <c r="I41" s="283"/>
      <c r="J41" s="368">
        <f>SUM(J38:J40)</f>
        <v>2206</v>
      </c>
      <c r="K41" s="362">
        <v>0</v>
      </c>
      <c r="L41" s="278" t="e">
        <f>#REF!</f>
        <v>#REF!</v>
      </c>
      <c r="M41" s="270"/>
      <c r="O41" s="162">
        <f>O40/2</f>
        <v>2197.665</v>
      </c>
      <c r="Q41" s="5"/>
    </row>
    <row r="42" spans="1:40" x14ac:dyDescent="0.25">
      <c r="A42" s="284" t="s">
        <v>512</v>
      </c>
      <c r="B42" s="284"/>
      <c r="C42" s="284"/>
      <c r="D42" s="284"/>
      <c r="E42" s="284"/>
      <c r="F42" s="284"/>
      <c r="G42" s="284"/>
      <c r="H42" s="284"/>
      <c r="I42" s="284"/>
      <c r="J42" s="279">
        <f>J41</f>
        <v>2206</v>
      </c>
      <c r="K42" s="363">
        <f>+K41</f>
        <v>0</v>
      </c>
      <c r="L42" s="279" t="e">
        <f>+L41</f>
        <v>#REF!</v>
      </c>
      <c r="M42" s="271"/>
      <c r="Q42" s="5"/>
    </row>
    <row r="43" spans="1:40" x14ac:dyDescent="0.25">
      <c r="A43" s="205"/>
      <c r="B43" s="205"/>
      <c r="C43" s="205"/>
      <c r="D43" s="205"/>
      <c r="E43" s="205"/>
      <c r="F43" s="205"/>
      <c r="G43" s="205"/>
      <c r="H43" s="205"/>
      <c r="I43" s="205"/>
      <c r="J43" s="205"/>
      <c r="K43" s="205"/>
      <c r="L43" s="205"/>
      <c r="M43" s="206"/>
      <c r="N43" s="206"/>
      <c r="O43" s="206"/>
      <c r="P43" s="206"/>
      <c r="R43" s="162"/>
      <c r="S43" s="162"/>
      <c r="T43" s="162"/>
      <c r="U43" s="187"/>
      <c r="V43" s="187"/>
      <c r="W43" s="187"/>
      <c r="X43" s="162"/>
      <c r="Y43" s="162"/>
      <c r="Z43" s="162"/>
      <c r="AG43" s="187"/>
      <c r="AH43" s="187"/>
      <c r="AI43" s="187"/>
    </row>
    <row r="44" spans="1:40" x14ac:dyDescent="0.25">
      <c r="A44" s="205"/>
      <c r="B44" s="205"/>
      <c r="C44" s="205"/>
      <c r="D44" s="205"/>
      <c r="E44" s="205"/>
      <c r="F44" s="205"/>
      <c r="G44" s="205"/>
      <c r="H44" s="205"/>
      <c r="I44" s="205"/>
      <c r="J44" s="205"/>
      <c r="K44" s="205"/>
      <c r="L44" s="205"/>
      <c r="M44" s="206"/>
      <c r="N44" s="206"/>
      <c r="O44" s="206"/>
      <c r="P44" s="206"/>
      <c r="R44" s="162"/>
      <c r="S44" s="162"/>
      <c r="T44" s="162"/>
      <c r="U44" s="187"/>
      <c r="V44" s="187"/>
      <c r="W44" s="187"/>
      <c r="AC44" s="162"/>
      <c r="AD44" s="162"/>
      <c r="AE44" s="162"/>
      <c r="AG44" s="187"/>
      <c r="AH44" s="187"/>
      <c r="AI44" s="187"/>
      <c r="AJ44" s="187"/>
      <c r="AK44" s="187"/>
      <c r="AL44" s="187"/>
      <c r="AM44" s="187"/>
      <c r="AN44" s="187"/>
    </row>
    <row r="45" spans="1:40" x14ac:dyDescent="0.25">
      <c r="A45" s="205"/>
      <c r="B45" s="205"/>
      <c r="C45" s="205"/>
      <c r="D45" s="205"/>
      <c r="E45" s="205"/>
      <c r="F45" s="205"/>
      <c r="G45" s="205"/>
      <c r="H45" s="205"/>
      <c r="I45" s="205"/>
      <c r="J45" s="205"/>
      <c r="K45" s="205"/>
      <c r="L45" s="205"/>
      <c r="M45" s="206"/>
      <c r="N45" s="206"/>
      <c r="O45" s="206"/>
      <c r="P45" s="206"/>
      <c r="R45" s="162"/>
      <c r="S45" s="162"/>
      <c r="T45" s="162"/>
      <c r="U45" s="187"/>
      <c r="V45" s="187"/>
      <c r="W45" s="187"/>
      <c r="AC45" s="162"/>
      <c r="AD45" s="162"/>
      <c r="AE45" s="162"/>
      <c r="AG45" s="187"/>
      <c r="AH45" s="187"/>
      <c r="AI45" s="187"/>
      <c r="AJ45" s="187"/>
      <c r="AK45" s="187"/>
      <c r="AL45" s="187"/>
      <c r="AM45" s="187"/>
      <c r="AN45" s="187"/>
    </row>
    <row r="46" spans="1:40" x14ac:dyDescent="0.25">
      <c r="A46" s="179"/>
      <c r="B46" s="179"/>
      <c r="C46" s="179"/>
      <c r="D46" s="179"/>
      <c r="E46" s="179"/>
      <c r="F46" s="179"/>
      <c r="G46" s="179"/>
      <c r="H46" s="179"/>
      <c r="I46" s="179"/>
      <c r="J46" s="179"/>
      <c r="K46" s="179"/>
      <c r="L46" s="179"/>
      <c r="M46" s="184"/>
      <c r="N46" s="184"/>
      <c r="O46" s="184"/>
      <c r="P46" s="184"/>
      <c r="Q46" s="162" t="s">
        <v>585</v>
      </c>
      <c r="R46" s="225" t="e">
        <f>+#REF!</f>
        <v>#REF!</v>
      </c>
      <c r="S46" s="225" t="e">
        <f>+#REF!</f>
        <v>#REF!</v>
      </c>
      <c r="T46" s="225" t="e">
        <f>+#REF!</f>
        <v>#REF!</v>
      </c>
      <c r="U46" s="225" t="e">
        <f>+#REF!</f>
        <v>#REF!</v>
      </c>
      <c r="V46" s="225" t="e">
        <f>+#REF!</f>
        <v>#REF!</v>
      </c>
      <c r="W46" s="225" t="e">
        <f>+#REF!</f>
        <v>#REF!</v>
      </c>
      <c r="X46" s="225" t="e">
        <f>+#REF!</f>
        <v>#REF!</v>
      </c>
      <c r="Y46" s="225" t="e">
        <f>+#REF!</f>
        <v>#REF!</v>
      </c>
      <c r="Z46" s="225" t="e">
        <f>+#REF!</f>
        <v>#REF!</v>
      </c>
      <c r="AA46" s="225" t="e">
        <f>+#REF!</f>
        <v>#REF!</v>
      </c>
      <c r="AB46" s="226" t="e">
        <f>SUM(R46:AA46)</f>
        <v>#REF!</v>
      </c>
      <c r="AC46" s="162"/>
      <c r="AD46" s="162"/>
      <c r="AE46" s="162"/>
      <c r="AG46" s="187"/>
      <c r="AH46" s="187"/>
      <c r="AI46" s="187"/>
      <c r="AJ46" s="187"/>
      <c r="AK46" s="187"/>
      <c r="AL46" s="187"/>
      <c r="AM46" s="187"/>
      <c r="AN46" s="187"/>
    </row>
    <row r="47" spans="1:40" x14ac:dyDescent="0.25">
      <c r="A47" s="179"/>
      <c r="B47" s="179"/>
      <c r="C47" s="179"/>
      <c r="D47" s="179"/>
      <c r="E47" s="212"/>
      <c r="F47" s="212"/>
      <c r="G47" s="212"/>
      <c r="H47" s="212"/>
      <c r="I47" s="212"/>
      <c r="J47" s="212"/>
      <c r="K47" s="179"/>
      <c r="L47" s="179"/>
      <c r="M47" s="184"/>
      <c r="N47" s="184"/>
      <c r="O47" s="184"/>
      <c r="P47" s="184"/>
      <c r="Q47" s="162" t="s">
        <v>301</v>
      </c>
      <c r="R47" s="227" t="e">
        <f>+R46/$AB$46</f>
        <v>#REF!</v>
      </c>
      <c r="S47" s="227" t="e">
        <f t="shared" ref="S47:AA47" si="2">+S46/$AB$46</f>
        <v>#REF!</v>
      </c>
      <c r="T47" s="227" t="e">
        <f t="shared" si="2"/>
        <v>#REF!</v>
      </c>
      <c r="U47" s="227" t="e">
        <f t="shared" si="2"/>
        <v>#REF!</v>
      </c>
      <c r="V47" s="227" t="e">
        <f t="shared" si="2"/>
        <v>#REF!</v>
      </c>
      <c r="W47" s="227" t="e">
        <f t="shared" si="2"/>
        <v>#REF!</v>
      </c>
      <c r="X47" s="227" t="e">
        <f t="shared" si="2"/>
        <v>#REF!</v>
      </c>
      <c r="Y47" s="227" t="e">
        <f t="shared" si="2"/>
        <v>#REF!</v>
      </c>
      <c r="Z47" s="227" t="e">
        <f t="shared" si="2"/>
        <v>#REF!</v>
      </c>
      <c r="AA47" s="227" t="e">
        <f t="shared" si="2"/>
        <v>#REF!</v>
      </c>
      <c r="AB47" s="226" t="e">
        <f>SUM(R47:AA47)</f>
        <v>#REF!</v>
      </c>
      <c r="AC47" s="162"/>
      <c r="AD47" s="162"/>
      <c r="AE47" s="162"/>
      <c r="AG47" s="187"/>
      <c r="AH47" s="187"/>
      <c r="AI47" s="187"/>
      <c r="AJ47" s="187"/>
      <c r="AK47" s="187"/>
      <c r="AL47" s="187"/>
      <c r="AM47" s="187"/>
      <c r="AN47" s="187"/>
    </row>
    <row r="48" spans="1:40" ht="45" x14ac:dyDescent="0.25">
      <c r="A48" s="164"/>
      <c r="B48" s="163" t="s">
        <v>578</v>
      </c>
      <c r="C48" s="163"/>
      <c r="D48" s="163"/>
      <c r="E48" s="213" t="s">
        <v>527</v>
      </c>
      <c r="F48" s="213"/>
      <c r="G48" s="213"/>
      <c r="H48" s="213" t="str">
        <f>+K37</f>
        <v xml:space="preserve"> LONGITUD EN EL TTMM DE ARRATZUA - UBARRUNDIA (Álava)</v>
      </c>
      <c r="I48" s="213" t="str">
        <f>+L37</f>
        <v xml:space="preserve"> LONGITUD EN EL TTMM DE  ZIGOITIA (Álava)</v>
      </c>
      <c r="J48" s="213">
        <f>+M37</f>
        <v>0</v>
      </c>
      <c r="K48" s="163" t="s">
        <v>519</v>
      </c>
      <c r="L48" s="163" t="s">
        <v>520</v>
      </c>
      <c r="M48" s="163" t="s">
        <v>521</v>
      </c>
      <c r="N48" s="163" t="s">
        <v>523</v>
      </c>
      <c r="O48" s="163" t="s">
        <v>537</v>
      </c>
      <c r="P48" s="164"/>
      <c r="Q48" s="164"/>
      <c r="R48" s="163"/>
      <c r="S48" s="163"/>
      <c r="T48" s="163"/>
      <c r="U48" s="163"/>
      <c r="V48" s="163"/>
      <c r="W48" s="163"/>
      <c r="X48" s="163"/>
      <c r="Y48" s="163"/>
      <c r="Z48" s="163"/>
      <c r="AA48" s="163"/>
      <c r="AC48" s="162"/>
      <c r="AD48" s="162"/>
      <c r="AE48" s="162"/>
      <c r="AG48" s="187"/>
      <c r="AH48" s="187"/>
      <c r="AI48" s="187"/>
      <c r="AJ48" s="187"/>
      <c r="AK48" s="187"/>
      <c r="AL48" s="187"/>
      <c r="AM48" s="187"/>
      <c r="AN48" s="187"/>
    </row>
    <row r="49" spans="1:40" x14ac:dyDescent="0.25">
      <c r="A49" s="204" t="s">
        <v>518</v>
      </c>
      <c r="B49" s="272"/>
      <c r="C49" s="272"/>
      <c r="D49" s="272"/>
      <c r="E49" s="189"/>
      <c r="F49" s="189"/>
      <c r="G49" s="189"/>
      <c r="H49" s="189"/>
      <c r="I49" s="189"/>
      <c r="J49" s="189"/>
      <c r="K49" s="163"/>
      <c r="L49" s="163"/>
      <c r="M49" s="163"/>
      <c r="N49" s="163"/>
      <c r="O49" s="163"/>
      <c r="P49" s="164"/>
      <c r="Q49" s="164"/>
      <c r="R49" s="189"/>
      <c r="S49" s="189"/>
      <c r="T49" s="189"/>
      <c r="U49" s="217"/>
      <c r="V49" s="217"/>
      <c r="W49" s="217"/>
      <c r="X49" s="217"/>
      <c r="Y49" s="217"/>
      <c r="Z49" s="217"/>
      <c r="AA49" s="217"/>
      <c r="AB49" s="187">
        <f t="shared" ref="AB49:AB82" si="3">+O49-SUM(R49:AA49)</f>
        <v>0</v>
      </c>
      <c r="AC49" s="162"/>
      <c r="AD49" s="162"/>
      <c r="AE49" s="162"/>
      <c r="AG49" s="187"/>
      <c r="AH49" s="187"/>
      <c r="AI49" s="187"/>
      <c r="AJ49" s="187"/>
      <c r="AK49" s="187"/>
      <c r="AL49" s="187"/>
      <c r="AM49" s="187"/>
      <c r="AN49" s="187"/>
    </row>
    <row r="50" spans="1:40" x14ac:dyDescent="0.25">
      <c r="A50" s="204" t="s">
        <v>169</v>
      </c>
      <c r="B50" s="272"/>
      <c r="C50" s="272"/>
      <c r="D50" s="272"/>
      <c r="E50" s="185"/>
      <c r="F50" s="185"/>
      <c r="G50" s="185"/>
      <c r="H50" s="185"/>
      <c r="I50" s="185"/>
      <c r="J50" s="185"/>
      <c r="K50" s="181"/>
      <c r="L50" s="183"/>
      <c r="M50" s="181"/>
      <c r="N50" s="181"/>
      <c r="O50" s="180"/>
      <c r="P50" s="187" t="str">
        <f>+'PRESUPUESTO P'!C64</f>
        <v>kg</v>
      </c>
      <c r="Q50" s="187"/>
      <c r="R50" s="180"/>
      <c r="S50" s="180"/>
      <c r="T50" s="180"/>
      <c r="U50" s="217"/>
      <c r="V50" s="217"/>
      <c r="W50" s="217"/>
      <c r="X50" s="217"/>
      <c r="Y50" s="217"/>
      <c r="Z50" s="217"/>
      <c r="AA50" s="217"/>
      <c r="AB50" s="187">
        <f t="shared" si="3"/>
        <v>0</v>
      </c>
      <c r="AC50" s="162"/>
      <c r="AD50" s="162"/>
      <c r="AE50" s="162"/>
      <c r="AG50" s="187"/>
      <c r="AH50" s="187"/>
      <c r="AI50" s="187"/>
      <c r="AJ50" s="187"/>
      <c r="AK50" s="187"/>
      <c r="AL50" s="187"/>
      <c r="AM50" s="187"/>
      <c r="AN50" s="187"/>
    </row>
    <row r="51" spans="1:40" x14ac:dyDescent="0.25">
      <c r="A51" s="204" t="s">
        <v>170</v>
      </c>
      <c r="B51" s="272"/>
      <c r="C51" s="272"/>
      <c r="D51" s="272"/>
      <c r="E51" s="185"/>
      <c r="F51" s="185"/>
      <c r="G51" s="185"/>
      <c r="H51" s="185"/>
      <c r="I51" s="185"/>
      <c r="J51" s="185"/>
      <c r="K51" s="163"/>
      <c r="L51" s="189"/>
      <c r="M51" s="181"/>
      <c r="N51" s="163"/>
      <c r="O51" s="180"/>
      <c r="P51" s="187" t="str">
        <f>+'PRESUPUESTO P'!C65</f>
        <v>kg</v>
      </c>
      <c r="Q51" s="187"/>
      <c r="R51" s="180"/>
      <c r="S51" s="163"/>
      <c r="T51" s="163"/>
      <c r="U51" s="217"/>
      <c r="V51" s="217"/>
      <c r="W51" s="217"/>
      <c r="X51" s="217"/>
      <c r="Y51" s="217"/>
      <c r="Z51" s="217"/>
      <c r="AA51" s="217"/>
      <c r="AB51" s="187">
        <f t="shared" si="3"/>
        <v>0</v>
      </c>
      <c r="AC51" s="162"/>
      <c r="AD51" s="162"/>
      <c r="AE51" s="162"/>
      <c r="AG51" s="187"/>
      <c r="AH51" s="187"/>
      <c r="AI51" s="187"/>
      <c r="AJ51" s="187"/>
      <c r="AK51" s="187"/>
      <c r="AL51" s="187"/>
      <c r="AM51" s="187"/>
      <c r="AN51" s="187"/>
    </row>
    <row r="52" spans="1:40" x14ac:dyDescent="0.25">
      <c r="A52" s="204" t="s">
        <v>172</v>
      </c>
      <c r="B52" s="272"/>
      <c r="C52" s="272"/>
      <c r="D52" s="272"/>
      <c r="E52" s="185"/>
      <c r="F52" s="185"/>
      <c r="G52" s="185"/>
      <c r="H52" s="185"/>
      <c r="I52" s="185"/>
      <c r="J52" s="185"/>
      <c r="K52" s="163"/>
      <c r="L52" s="189"/>
      <c r="M52" s="181"/>
      <c r="N52" s="163"/>
      <c r="O52" s="180"/>
      <c r="P52" s="187" t="str">
        <f>+'PRESUPUESTO P'!C66</f>
        <v>kg</v>
      </c>
      <c r="Q52" s="187"/>
      <c r="R52" s="180"/>
      <c r="S52" s="163"/>
      <c r="T52" s="163"/>
      <c r="U52" s="217"/>
      <c r="V52" s="217"/>
      <c r="W52" s="217"/>
      <c r="X52" s="217"/>
      <c r="Y52" s="217"/>
      <c r="Z52" s="217"/>
      <c r="AA52" s="217"/>
      <c r="AB52" s="187">
        <f t="shared" si="3"/>
        <v>0</v>
      </c>
      <c r="AC52" s="162"/>
      <c r="AD52" s="162"/>
      <c r="AE52" s="162"/>
      <c r="AG52" s="187"/>
      <c r="AH52" s="187"/>
      <c r="AI52" s="187"/>
      <c r="AJ52" s="187"/>
      <c r="AK52" s="187"/>
      <c r="AL52" s="187"/>
      <c r="AM52" s="187"/>
      <c r="AN52" s="187"/>
    </row>
    <row r="53" spans="1:40" x14ac:dyDescent="0.25">
      <c r="A53" s="204" t="s">
        <v>171</v>
      </c>
      <c r="B53" s="272"/>
      <c r="C53" s="272"/>
      <c r="D53" s="272"/>
      <c r="E53" s="185"/>
      <c r="F53" s="185"/>
      <c r="G53" s="185"/>
      <c r="H53" s="185"/>
      <c r="I53" s="185"/>
      <c r="J53" s="185"/>
      <c r="K53" s="163"/>
      <c r="L53" s="189"/>
      <c r="M53" s="181"/>
      <c r="N53" s="163"/>
      <c r="O53" s="180"/>
      <c r="P53" s="187" t="str">
        <f>+'PRESUPUESTO P'!C67</f>
        <v>m</v>
      </c>
      <c r="Q53" s="187"/>
      <c r="R53" s="180"/>
      <c r="S53" s="180"/>
      <c r="T53" s="180"/>
      <c r="U53" s="217"/>
      <c r="V53" s="217"/>
      <c r="W53" s="217"/>
      <c r="X53" s="217"/>
      <c r="Y53" s="217"/>
      <c r="Z53" s="217"/>
      <c r="AA53" s="217"/>
      <c r="AB53" s="187">
        <f t="shared" si="3"/>
        <v>0</v>
      </c>
      <c r="AC53" s="162"/>
      <c r="AD53" s="162"/>
      <c r="AE53" s="162"/>
      <c r="AG53" s="187"/>
      <c r="AH53" s="187"/>
      <c r="AI53" s="187"/>
      <c r="AJ53" s="187"/>
      <c r="AK53" s="187"/>
      <c r="AL53" s="187"/>
      <c r="AM53" s="187"/>
      <c r="AN53" s="187"/>
    </row>
    <row r="54" spans="1:40" x14ac:dyDescent="0.25">
      <c r="A54" s="178" t="s">
        <v>173</v>
      </c>
      <c r="B54" s="272"/>
      <c r="C54" s="272"/>
      <c r="D54" s="272"/>
      <c r="E54" s="185"/>
      <c r="F54" s="185"/>
      <c r="G54" s="185"/>
      <c r="H54" s="185"/>
      <c r="I54" s="185"/>
      <c r="J54" s="185"/>
      <c r="K54" s="163"/>
      <c r="L54" s="189"/>
      <c r="M54" s="181"/>
      <c r="N54" s="163"/>
      <c r="O54" s="180"/>
      <c r="P54" s="187" t="str">
        <f>+'PRESUPUESTO P'!C68</f>
        <v>m</v>
      </c>
      <c r="Q54" s="187"/>
      <c r="R54" s="180"/>
      <c r="S54" s="163"/>
      <c r="T54" s="163"/>
      <c r="U54" s="217"/>
      <c r="V54" s="217"/>
      <c r="W54" s="217"/>
      <c r="X54" s="217"/>
      <c r="Y54" s="217"/>
      <c r="Z54" s="217"/>
      <c r="AA54" s="217"/>
      <c r="AB54" s="187">
        <f t="shared" si="3"/>
        <v>0</v>
      </c>
      <c r="AC54" s="162"/>
      <c r="AD54" s="162"/>
      <c r="AE54" s="162"/>
      <c r="AG54" s="187"/>
      <c r="AH54" s="187"/>
      <c r="AI54" s="187"/>
      <c r="AJ54" s="187"/>
      <c r="AK54" s="187"/>
      <c r="AL54" s="187"/>
      <c r="AM54" s="187"/>
      <c r="AN54" s="187"/>
    </row>
    <row r="55" spans="1:40" x14ac:dyDescent="0.25">
      <c r="A55" s="178" t="s">
        <v>175</v>
      </c>
      <c r="B55" s="272"/>
      <c r="C55" s="272"/>
      <c r="D55" s="272"/>
      <c r="E55" s="180"/>
      <c r="F55" s="180"/>
      <c r="G55" s="180"/>
      <c r="H55" s="180"/>
      <c r="I55" s="180"/>
      <c r="J55" s="180"/>
      <c r="K55" s="163"/>
      <c r="L55" s="163"/>
      <c r="M55" s="163"/>
      <c r="N55" s="163"/>
      <c r="O55" s="163"/>
      <c r="P55" s="187" t="str">
        <f>+'PRESUPUESTO P'!C69</f>
        <v>ud</v>
      </c>
      <c r="Q55" s="187"/>
      <c r="R55" s="189"/>
      <c r="S55" s="189"/>
      <c r="T55" s="189"/>
      <c r="U55" s="217"/>
      <c r="V55" s="217"/>
      <c r="W55" s="217"/>
      <c r="X55" s="217"/>
      <c r="Y55" s="217"/>
      <c r="Z55" s="217"/>
      <c r="AA55" s="217"/>
      <c r="AB55" s="187">
        <f t="shared" si="3"/>
        <v>0</v>
      </c>
      <c r="AC55" s="162"/>
      <c r="AD55" s="162"/>
      <c r="AE55" s="162"/>
      <c r="AG55" s="187"/>
      <c r="AH55" s="187"/>
      <c r="AI55" s="187"/>
      <c r="AJ55" s="187"/>
      <c r="AK55" s="187"/>
      <c r="AL55" s="187"/>
      <c r="AM55" s="187"/>
      <c r="AN55" s="187"/>
    </row>
    <row r="56" spans="1:40" s="187" customFormat="1" ht="30" x14ac:dyDescent="0.25">
      <c r="A56" s="214" t="s">
        <v>515</v>
      </c>
      <c r="B56" s="272"/>
      <c r="C56" s="272"/>
      <c r="D56" s="272"/>
      <c r="E56" s="216"/>
      <c r="F56" s="216"/>
      <c r="G56" s="216"/>
      <c r="H56" s="216"/>
      <c r="I56" s="216"/>
      <c r="J56" s="216"/>
      <c r="K56" s="217"/>
      <c r="L56" s="217"/>
      <c r="M56" s="217"/>
      <c r="N56" s="217"/>
      <c r="O56" s="217"/>
      <c r="P56" s="187" t="str">
        <f>+'PRESUPUESTO P'!C70</f>
        <v>ud</v>
      </c>
      <c r="Q56" s="187" t="s">
        <v>538</v>
      </c>
      <c r="R56" s="217"/>
      <c r="S56" s="217"/>
      <c r="T56" s="217"/>
      <c r="U56" s="217"/>
      <c r="V56" s="217"/>
      <c r="W56" s="217"/>
      <c r="X56" s="217"/>
      <c r="Y56" s="217"/>
      <c r="Z56" s="217"/>
      <c r="AA56" s="217"/>
      <c r="AB56" s="187">
        <f t="shared" si="3"/>
        <v>0</v>
      </c>
    </row>
    <row r="57" spans="1:40" s="187" customFormat="1" x14ac:dyDescent="0.25">
      <c r="A57" s="214" t="s">
        <v>174</v>
      </c>
      <c r="B57" s="272"/>
      <c r="C57" s="272"/>
      <c r="D57" s="272"/>
      <c r="E57" s="216"/>
      <c r="F57" s="216"/>
      <c r="G57" s="216"/>
      <c r="H57" s="216"/>
      <c r="I57" s="216"/>
      <c r="J57" s="216"/>
      <c r="K57" s="217"/>
      <c r="L57" s="217"/>
      <c r="M57" s="217"/>
      <c r="N57" s="217"/>
      <c r="O57" s="217"/>
      <c r="P57" s="187" t="str">
        <f>+'PRESUPUESTO P'!C71</f>
        <v>ud</v>
      </c>
      <c r="R57" s="217"/>
      <c r="S57" s="217"/>
      <c r="T57" s="217"/>
      <c r="U57" s="217"/>
      <c r="V57" s="217"/>
      <c r="W57" s="217"/>
      <c r="X57" s="217"/>
      <c r="Y57" s="217"/>
      <c r="Z57" s="217"/>
      <c r="AA57" s="217"/>
      <c r="AB57" s="187">
        <f t="shared" si="3"/>
        <v>0</v>
      </c>
    </row>
    <row r="58" spans="1:40" s="187" customFormat="1" x14ac:dyDescent="0.25">
      <c r="A58" s="214" t="s">
        <v>176</v>
      </c>
      <c r="B58" s="272"/>
      <c r="C58" s="272"/>
      <c r="D58" s="272"/>
      <c r="E58" s="216"/>
      <c r="F58" s="216"/>
      <c r="G58" s="216"/>
      <c r="H58" s="216"/>
      <c r="I58" s="216"/>
      <c r="J58" s="216"/>
      <c r="K58" s="217"/>
      <c r="L58" s="217"/>
      <c r="M58" s="217"/>
      <c r="N58" s="217"/>
      <c r="O58" s="217"/>
      <c r="P58" s="187" t="str">
        <f>+'PRESUPUESTO P'!C72</f>
        <v>ud</v>
      </c>
      <c r="R58" s="217"/>
      <c r="S58" s="217"/>
      <c r="T58" s="217"/>
      <c r="U58" s="217"/>
      <c r="V58" s="217"/>
      <c r="W58" s="217"/>
      <c r="X58" s="217"/>
      <c r="Y58" s="217"/>
      <c r="Z58" s="217"/>
      <c r="AA58" s="217"/>
      <c r="AB58" s="187">
        <f t="shared" si="3"/>
        <v>0</v>
      </c>
    </row>
    <row r="59" spans="1:40" s="187" customFormat="1" x14ac:dyDescent="0.25">
      <c r="A59" s="214" t="s">
        <v>179</v>
      </c>
      <c r="B59" s="272"/>
      <c r="C59" s="272"/>
      <c r="D59" s="272"/>
      <c r="E59" s="216"/>
      <c r="F59" s="216"/>
      <c r="G59" s="216"/>
      <c r="H59" s="216"/>
      <c r="I59" s="216"/>
      <c r="J59" s="216"/>
      <c r="K59" s="217"/>
      <c r="L59" s="217"/>
      <c r="M59" s="217"/>
      <c r="N59" s="217"/>
      <c r="O59" s="217"/>
      <c r="P59" s="187" t="str">
        <f>+'PRESUPUESTO P'!C73</f>
        <v>ud</v>
      </c>
      <c r="R59" s="215"/>
      <c r="S59" s="215"/>
      <c r="T59" s="215"/>
      <c r="U59" s="217"/>
      <c r="V59" s="217"/>
      <c r="W59" s="217"/>
      <c r="X59" s="217"/>
      <c r="Y59" s="217"/>
      <c r="Z59" s="217"/>
      <c r="AA59" s="217"/>
      <c r="AB59" s="187">
        <f t="shared" si="3"/>
        <v>0</v>
      </c>
    </row>
    <row r="60" spans="1:40" s="187" customFormat="1" ht="30" x14ac:dyDescent="0.25">
      <c r="A60" s="214" t="s">
        <v>516</v>
      </c>
      <c r="B60" s="272"/>
      <c r="C60" s="272"/>
      <c r="D60" s="272"/>
      <c r="E60" s="216"/>
      <c r="F60" s="216"/>
      <c r="G60" s="216"/>
      <c r="H60" s="216"/>
      <c r="I60" s="216"/>
      <c r="J60" s="216"/>
      <c r="K60" s="217"/>
      <c r="L60" s="217"/>
      <c r="M60" s="217"/>
      <c r="N60" s="217"/>
      <c r="O60" s="217"/>
      <c r="P60" s="187" t="str">
        <f>+'PRESUPUESTO P'!C74</f>
        <v>ud</v>
      </c>
      <c r="Q60" s="187" t="s">
        <v>538</v>
      </c>
      <c r="R60" s="217"/>
      <c r="S60" s="217"/>
      <c r="T60" s="217"/>
      <c r="U60" s="217"/>
      <c r="V60" s="217"/>
      <c r="W60" s="217"/>
      <c r="X60" s="217"/>
      <c r="Y60" s="217"/>
      <c r="Z60" s="217"/>
      <c r="AA60" s="217"/>
      <c r="AB60" s="187">
        <f t="shared" si="3"/>
        <v>0</v>
      </c>
    </row>
    <row r="61" spans="1:40" s="187" customFormat="1" x14ac:dyDescent="0.25">
      <c r="A61" s="214" t="s">
        <v>180</v>
      </c>
      <c r="B61" s="272"/>
      <c r="C61" s="272"/>
      <c r="D61" s="272"/>
      <c r="E61" s="216"/>
      <c r="F61" s="216"/>
      <c r="G61" s="216"/>
      <c r="H61" s="216"/>
      <c r="I61" s="216"/>
      <c r="J61" s="216"/>
      <c r="K61" s="217"/>
      <c r="L61" s="217"/>
      <c r="M61" s="217"/>
      <c r="N61" s="217"/>
      <c r="O61" s="217"/>
      <c r="P61" s="187" t="str">
        <f>+'PRESUPUESTO P'!C75</f>
        <v>ud</v>
      </c>
      <c r="R61" s="217"/>
      <c r="S61" s="217"/>
      <c r="T61" s="217"/>
      <c r="U61" s="217"/>
      <c r="V61" s="217"/>
      <c r="W61" s="217"/>
      <c r="X61" s="217"/>
      <c r="Y61" s="217"/>
      <c r="Z61" s="217"/>
      <c r="AA61" s="217"/>
      <c r="AB61" s="187">
        <f t="shared" si="3"/>
        <v>0</v>
      </c>
    </row>
    <row r="62" spans="1:40" s="187" customFormat="1" x14ac:dyDescent="0.25">
      <c r="A62" s="214" t="s">
        <v>181</v>
      </c>
      <c r="B62" s="272"/>
      <c r="C62" s="272"/>
      <c r="D62" s="272"/>
      <c r="E62" s="216"/>
      <c r="F62" s="216"/>
      <c r="G62" s="216"/>
      <c r="H62" s="216"/>
      <c r="I62" s="216"/>
      <c r="J62" s="216"/>
      <c r="K62" s="217"/>
      <c r="L62" s="217"/>
      <c r="M62" s="217"/>
      <c r="N62" s="217"/>
      <c r="O62" s="217"/>
      <c r="P62" s="187" t="str">
        <f>+'PRESUPUESTO P'!C76</f>
        <v>ud</v>
      </c>
      <c r="R62" s="217"/>
      <c r="S62" s="217"/>
      <c r="T62" s="217"/>
      <c r="U62" s="217"/>
      <c r="V62" s="217"/>
      <c r="W62" s="217"/>
      <c r="X62" s="217"/>
      <c r="Y62" s="217"/>
      <c r="Z62" s="217"/>
      <c r="AA62" s="217"/>
      <c r="AB62" s="187">
        <f t="shared" si="3"/>
        <v>0</v>
      </c>
    </row>
    <row r="63" spans="1:40" s="187" customFormat="1" x14ac:dyDescent="0.25">
      <c r="A63" s="214" t="s">
        <v>182</v>
      </c>
      <c r="B63" s="272"/>
      <c r="C63" s="272"/>
      <c r="D63" s="272"/>
      <c r="E63" s="216"/>
      <c r="F63" s="216"/>
      <c r="G63" s="216"/>
      <c r="H63" s="216"/>
      <c r="I63" s="216"/>
      <c r="J63" s="216"/>
      <c r="K63" s="217"/>
      <c r="L63" s="217"/>
      <c r="M63" s="217"/>
      <c r="N63" s="217"/>
      <c r="O63" s="217"/>
      <c r="P63" s="187" t="str">
        <f>+'PRESUPUESTO P'!C77</f>
        <v>ud</v>
      </c>
      <c r="R63" s="215"/>
      <c r="S63" s="215"/>
      <c r="T63" s="215"/>
      <c r="U63" s="217"/>
      <c r="V63" s="217"/>
      <c r="W63" s="217"/>
      <c r="X63" s="217"/>
      <c r="Y63" s="217"/>
      <c r="Z63" s="217"/>
      <c r="AA63" s="217"/>
      <c r="AB63" s="187">
        <f t="shared" si="3"/>
        <v>0</v>
      </c>
    </row>
    <row r="64" spans="1:40" s="187" customFormat="1" ht="30" x14ac:dyDescent="0.25">
      <c r="A64" s="214" t="s">
        <v>517</v>
      </c>
      <c r="B64" s="272"/>
      <c r="C64" s="272"/>
      <c r="D64" s="272"/>
      <c r="E64" s="216"/>
      <c r="F64" s="216"/>
      <c r="G64" s="216"/>
      <c r="H64" s="216"/>
      <c r="I64" s="216"/>
      <c r="J64" s="216"/>
      <c r="K64" s="217"/>
      <c r="L64" s="217"/>
      <c r="M64" s="217"/>
      <c r="N64" s="217"/>
      <c r="O64" s="217"/>
      <c r="P64" s="187" t="str">
        <f>+'PRESUPUESTO P'!C78</f>
        <v>ud</v>
      </c>
      <c r="Q64" s="187" t="s">
        <v>538</v>
      </c>
      <c r="R64" s="217"/>
      <c r="S64" s="217"/>
      <c r="T64" s="217"/>
      <c r="U64" s="217"/>
      <c r="V64" s="217"/>
      <c r="W64" s="217"/>
      <c r="X64" s="217"/>
      <c r="Y64" s="217"/>
      <c r="Z64" s="217"/>
      <c r="AA64" s="217"/>
      <c r="AB64" s="187">
        <f t="shared" si="3"/>
        <v>0</v>
      </c>
    </row>
    <row r="65" spans="1:40" s="187" customFormat="1" x14ac:dyDescent="0.25">
      <c r="A65" s="214" t="s">
        <v>184</v>
      </c>
      <c r="B65" s="272"/>
      <c r="C65" s="272"/>
      <c r="D65" s="272"/>
      <c r="E65" s="216"/>
      <c r="F65" s="216"/>
      <c r="G65" s="216"/>
      <c r="H65" s="216"/>
      <c r="I65" s="216"/>
      <c r="J65" s="216"/>
      <c r="K65" s="217"/>
      <c r="L65" s="217"/>
      <c r="M65" s="217"/>
      <c r="N65" s="217"/>
      <c r="O65" s="217"/>
      <c r="P65" s="187" t="str">
        <f>+'PRESUPUESTO P'!C79</f>
        <v>ud</v>
      </c>
      <c r="R65" s="217"/>
      <c r="S65" s="217"/>
      <c r="T65" s="217"/>
      <c r="U65" s="217"/>
      <c r="V65" s="217"/>
      <c r="W65" s="217"/>
      <c r="X65" s="217"/>
      <c r="Y65" s="217"/>
      <c r="Z65" s="217"/>
      <c r="AA65" s="217"/>
      <c r="AB65" s="187">
        <f t="shared" si="3"/>
        <v>0</v>
      </c>
    </row>
    <row r="66" spans="1:40" x14ac:dyDescent="0.25">
      <c r="A66" s="178" t="s">
        <v>185</v>
      </c>
      <c r="B66" s="272"/>
      <c r="C66" s="272"/>
      <c r="D66" s="272"/>
      <c r="E66" s="180"/>
      <c r="F66" s="180"/>
      <c r="G66" s="180"/>
      <c r="H66" s="180"/>
      <c r="I66" s="180"/>
      <c r="J66" s="180"/>
      <c r="K66" s="163"/>
      <c r="L66" s="163"/>
      <c r="M66" s="163"/>
      <c r="N66" s="163"/>
      <c r="O66" s="163"/>
      <c r="P66" s="187" t="str">
        <f>+'PRESUPUESTO P'!C80</f>
        <v>ud</v>
      </c>
      <c r="Q66" s="187"/>
      <c r="R66" s="217"/>
      <c r="S66" s="217"/>
      <c r="T66" s="217"/>
      <c r="U66" s="217"/>
      <c r="V66" s="217"/>
      <c r="W66" s="217"/>
      <c r="X66" s="217"/>
      <c r="Y66" s="217"/>
      <c r="Z66" s="217"/>
      <c r="AA66" s="217"/>
      <c r="AB66" s="187">
        <f t="shared" si="3"/>
        <v>0</v>
      </c>
      <c r="AC66" s="162"/>
      <c r="AD66" s="162"/>
      <c r="AE66" s="162"/>
      <c r="AG66" s="187"/>
      <c r="AH66" s="187"/>
      <c r="AI66" s="187"/>
      <c r="AJ66" s="187"/>
      <c r="AK66" s="187"/>
      <c r="AL66" s="187"/>
      <c r="AM66" s="187"/>
      <c r="AN66" s="187"/>
    </row>
    <row r="67" spans="1:40" x14ac:dyDescent="0.25">
      <c r="A67" s="178" t="s">
        <v>189</v>
      </c>
      <c r="B67" s="272"/>
      <c r="C67" s="272"/>
      <c r="D67" s="272"/>
      <c r="E67" s="180"/>
      <c r="F67" s="180"/>
      <c r="G67" s="180"/>
      <c r="H67" s="180"/>
      <c r="I67" s="180"/>
      <c r="J67" s="180"/>
      <c r="K67" s="163"/>
      <c r="L67" s="163"/>
      <c r="M67" s="163"/>
      <c r="N67" s="163"/>
      <c r="O67" s="163"/>
      <c r="P67" s="187" t="str">
        <f>+'PRESUPUESTO P'!C81</f>
        <v>ud</v>
      </c>
      <c r="Q67" s="187"/>
      <c r="R67" s="180"/>
      <c r="S67" s="180"/>
      <c r="T67" s="180"/>
      <c r="U67" s="180"/>
      <c r="V67" s="180"/>
      <c r="W67" s="180"/>
      <c r="X67" s="180"/>
      <c r="Y67" s="180"/>
      <c r="Z67" s="180"/>
      <c r="AA67" s="180"/>
      <c r="AB67" s="187">
        <f t="shared" si="3"/>
        <v>0</v>
      </c>
      <c r="AC67" s="162"/>
      <c r="AD67" s="162"/>
      <c r="AE67" s="162"/>
      <c r="AG67" s="187"/>
      <c r="AH67" s="187"/>
      <c r="AI67" s="187"/>
      <c r="AJ67" s="187"/>
      <c r="AK67" s="187"/>
      <c r="AL67" s="187"/>
      <c r="AM67" s="187"/>
      <c r="AN67" s="187"/>
    </row>
    <row r="68" spans="1:40" x14ac:dyDescent="0.25">
      <c r="A68" s="178" t="s">
        <v>190</v>
      </c>
      <c r="B68" s="272"/>
      <c r="C68" s="272"/>
      <c r="D68" s="272"/>
      <c r="E68" s="180"/>
      <c r="F68" s="180"/>
      <c r="G68" s="180"/>
      <c r="H68" s="180"/>
      <c r="I68" s="180"/>
      <c r="J68" s="180"/>
      <c r="K68" s="163"/>
      <c r="L68" s="163"/>
      <c r="M68" s="163"/>
      <c r="N68" s="163"/>
      <c r="O68" s="163"/>
      <c r="P68" s="187" t="str">
        <f>+'PRESUPUESTO P'!C82</f>
        <v>ud</v>
      </c>
      <c r="Q68" s="187"/>
      <c r="R68" s="180"/>
      <c r="S68" s="180"/>
      <c r="T68" s="180"/>
      <c r="U68" s="180"/>
      <c r="V68" s="180"/>
      <c r="W68" s="180"/>
      <c r="X68" s="180"/>
      <c r="Y68" s="180"/>
      <c r="Z68" s="180"/>
      <c r="AA68" s="180"/>
      <c r="AB68" s="187">
        <f t="shared" si="3"/>
        <v>0</v>
      </c>
      <c r="AC68" s="162"/>
      <c r="AD68" s="162"/>
      <c r="AE68" s="162"/>
      <c r="AG68" s="187"/>
      <c r="AH68" s="187"/>
      <c r="AI68" s="187"/>
      <c r="AJ68" s="187"/>
      <c r="AK68" s="187"/>
      <c r="AL68" s="187"/>
      <c r="AM68" s="187"/>
      <c r="AN68" s="187"/>
    </row>
    <row r="69" spans="1:40" x14ac:dyDescent="0.25">
      <c r="A69" s="178" t="s">
        <v>191</v>
      </c>
      <c r="B69" s="272"/>
      <c r="C69" s="272"/>
      <c r="D69" s="272"/>
      <c r="E69" s="180"/>
      <c r="F69" s="180"/>
      <c r="G69" s="180"/>
      <c r="H69" s="180"/>
      <c r="I69" s="180"/>
      <c r="J69" s="180"/>
      <c r="K69" s="163"/>
      <c r="L69" s="163"/>
      <c r="M69" s="163"/>
      <c r="N69" s="163"/>
      <c r="O69" s="163"/>
      <c r="P69" s="187" t="str">
        <f>+'PRESUPUESTO P'!C83</f>
        <v>ud</v>
      </c>
      <c r="Q69" s="187"/>
      <c r="R69" s="180"/>
      <c r="S69" s="180"/>
      <c r="T69" s="180"/>
      <c r="U69" s="180"/>
      <c r="V69" s="180"/>
      <c r="W69" s="180"/>
      <c r="X69" s="180"/>
      <c r="Y69" s="180"/>
      <c r="Z69" s="180"/>
      <c r="AA69" s="180"/>
      <c r="AB69" s="187">
        <f t="shared" si="3"/>
        <v>0</v>
      </c>
      <c r="AC69" s="162"/>
      <c r="AD69" s="162"/>
      <c r="AE69" s="162"/>
      <c r="AG69" s="187"/>
      <c r="AH69" s="187"/>
      <c r="AI69" s="187"/>
      <c r="AJ69" s="187"/>
      <c r="AK69" s="187"/>
      <c r="AL69" s="187"/>
      <c r="AM69" s="187"/>
      <c r="AN69" s="187"/>
    </row>
    <row r="70" spans="1:40" x14ac:dyDescent="0.25">
      <c r="A70" s="178" t="s">
        <v>186</v>
      </c>
      <c r="B70" s="272"/>
      <c r="C70" s="272"/>
      <c r="D70" s="272"/>
      <c r="E70" s="180"/>
      <c r="F70" s="180"/>
      <c r="G70" s="180"/>
      <c r="H70" s="180"/>
      <c r="I70" s="180"/>
      <c r="J70" s="180"/>
      <c r="K70" s="163"/>
      <c r="L70" s="163"/>
      <c r="M70" s="163"/>
      <c r="N70" s="163"/>
      <c r="O70" s="163"/>
      <c r="P70" s="187" t="str">
        <f>+'PRESUPUESTO P'!C84</f>
        <v>ud</v>
      </c>
      <c r="Q70" s="187"/>
      <c r="R70" s="185"/>
      <c r="S70" s="185"/>
      <c r="T70" s="185"/>
      <c r="U70" s="180"/>
      <c r="V70" s="180"/>
      <c r="W70" s="180"/>
      <c r="X70" s="180"/>
      <c r="Y70" s="180"/>
      <c r="Z70" s="180"/>
      <c r="AA70" s="180"/>
      <c r="AB70" s="187">
        <f t="shared" si="3"/>
        <v>0</v>
      </c>
      <c r="AC70" s="162"/>
      <c r="AD70" s="162"/>
      <c r="AE70" s="162"/>
      <c r="AG70" s="187"/>
      <c r="AH70" s="187"/>
      <c r="AI70" s="187"/>
      <c r="AJ70" s="187"/>
      <c r="AK70" s="187"/>
      <c r="AL70" s="187"/>
      <c r="AM70" s="187"/>
      <c r="AN70" s="187"/>
    </row>
    <row r="71" spans="1:40" x14ac:dyDescent="0.25">
      <c r="A71" s="178" t="s">
        <v>187</v>
      </c>
      <c r="B71" s="272"/>
      <c r="C71" s="272"/>
      <c r="D71" s="272"/>
      <c r="E71" s="180"/>
      <c r="F71" s="180"/>
      <c r="G71" s="180"/>
      <c r="H71" s="180"/>
      <c r="I71" s="180"/>
      <c r="J71" s="180"/>
      <c r="K71" s="163"/>
      <c r="L71" s="163"/>
      <c r="M71" s="163"/>
      <c r="N71" s="163"/>
      <c r="O71" s="163"/>
      <c r="P71" s="187" t="str">
        <f>+'PRESUPUESTO P'!C85</f>
        <v>ud</v>
      </c>
      <c r="Q71" s="187"/>
      <c r="R71" s="180"/>
      <c r="S71" s="180"/>
      <c r="T71" s="180"/>
      <c r="U71" s="180"/>
      <c r="V71" s="180"/>
      <c r="W71" s="180"/>
      <c r="X71" s="180"/>
      <c r="Y71" s="180"/>
      <c r="Z71" s="180"/>
      <c r="AA71" s="180"/>
      <c r="AB71" s="187">
        <f t="shared" si="3"/>
        <v>0</v>
      </c>
      <c r="AC71" s="162"/>
      <c r="AD71" s="162"/>
      <c r="AE71" s="162"/>
      <c r="AG71" s="187"/>
      <c r="AH71" s="187"/>
      <c r="AI71" s="187"/>
      <c r="AJ71" s="187"/>
      <c r="AK71" s="187"/>
      <c r="AL71" s="187"/>
      <c r="AM71" s="187"/>
      <c r="AN71" s="187"/>
    </row>
    <row r="72" spans="1:40" x14ac:dyDescent="0.25">
      <c r="A72" s="178" t="s">
        <v>188</v>
      </c>
      <c r="B72" s="272"/>
      <c r="C72" s="272"/>
      <c r="D72" s="272"/>
      <c r="E72" s="180"/>
      <c r="F72" s="180"/>
      <c r="G72" s="180"/>
      <c r="H72" s="180"/>
      <c r="I72" s="180"/>
      <c r="J72" s="180"/>
      <c r="K72" s="163"/>
      <c r="L72" s="163"/>
      <c r="M72" s="163"/>
      <c r="N72" s="163"/>
      <c r="O72" s="163"/>
      <c r="P72" s="187" t="str">
        <f>+'PRESUPUESTO P'!C86</f>
        <v>ud</v>
      </c>
      <c r="Q72" s="187"/>
      <c r="R72" s="180"/>
      <c r="S72" s="180"/>
      <c r="T72" s="180"/>
      <c r="U72" s="180"/>
      <c r="V72" s="180"/>
      <c r="W72" s="180"/>
      <c r="X72" s="180"/>
      <c r="Y72" s="180"/>
      <c r="Z72" s="180"/>
      <c r="AA72" s="180"/>
      <c r="AB72" s="187">
        <f t="shared" si="3"/>
        <v>0</v>
      </c>
      <c r="AC72" s="162"/>
      <c r="AD72" s="162"/>
      <c r="AE72" s="162"/>
      <c r="AG72" s="187"/>
      <c r="AH72" s="187"/>
      <c r="AI72" s="187"/>
      <c r="AJ72" s="187"/>
      <c r="AK72" s="187"/>
      <c r="AL72" s="187"/>
      <c r="AM72" s="187"/>
      <c r="AN72" s="187"/>
    </row>
    <row r="73" spans="1:40" x14ac:dyDescent="0.25">
      <c r="A73" s="178" t="s">
        <v>217</v>
      </c>
      <c r="B73" s="272"/>
      <c r="C73" s="272"/>
      <c r="D73" s="272"/>
      <c r="E73" s="180"/>
      <c r="F73" s="180"/>
      <c r="G73" s="180"/>
      <c r="H73" s="180"/>
      <c r="I73" s="180"/>
      <c r="J73" s="180"/>
      <c r="K73" s="163"/>
      <c r="L73" s="163"/>
      <c r="M73" s="163"/>
      <c r="N73" s="163"/>
      <c r="O73" s="163"/>
      <c r="P73" s="187" t="str">
        <f>+'PRESUPUESTO P'!C87</f>
        <v>ud</v>
      </c>
      <c r="Q73" s="187"/>
      <c r="R73" s="180"/>
      <c r="S73" s="180"/>
      <c r="T73" s="180"/>
      <c r="U73" s="180"/>
      <c r="V73" s="180"/>
      <c r="W73" s="180"/>
      <c r="X73" s="180"/>
      <c r="Y73" s="180"/>
      <c r="Z73" s="180"/>
      <c r="AA73" s="180"/>
      <c r="AB73" s="187">
        <f t="shared" si="3"/>
        <v>0</v>
      </c>
      <c r="AC73" s="162"/>
      <c r="AD73" s="162"/>
      <c r="AE73" s="162"/>
      <c r="AG73" s="187"/>
      <c r="AH73" s="187"/>
      <c r="AI73" s="187"/>
      <c r="AJ73" s="187"/>
      <c r="AK73" s="187"/>
      <c r="AL73" s="187"/>
      <c r="AM73" s="187"/>
      <c r="AN73" s="187"/>
    </row>
    <row r="74" spans="1:40" ht="45" x14ac:dyDescent="0.25">
      <c r="A74" s="178" t="s">
        <v>555</v>
      </c>
      <c r="B74" s="272"/>
      <c r="C74" s="272"/>
      <c r="D74" s="272"/>
      <c r="E74" s="180"/>
      <c r="F74" s="180"/>
      <c r="G74" s="180"/>
      <c r="H74" s="180"/>
      <c r="I74" s="180"/>
      <c r="J74" s="180"/>
      <c r="K74" s="163"/>
      <c r="L74" s="163"/>
      <c r="M74" s="163"/>
      <c r="N74" s="163"/>
      <c r="O74" s="163"/>
      <c r="P74" s="187" t="str">
        <f>+'PRESUPUESTO P'!C88</f>
        <v>ud</v>
      </c>
      <c r="Q74" s="234" t="s">
        <v>588</v>
      </c>
      <c r="R74" s="180"/>
      <c r="S74" s="180"/>
      <c r="T74" s="180"/>
      <c r="U74" s="180"/>
      <c r="V74" s="180"/>
      <c r="W74" s="180"/>
      <c r="X74" s="180"/>
      <c r="Y74" s="180"/>
      <c r="Z74" s="180"/>
      <c r="AA74" s="180"/>
      <c r="AB74" s="187">
        <f t="shared" si="3"/>
        <v>0</v>
      </c>
      <c r="AC74" s="162"/>
      <c r="AD74" s="162"/>
      <c r="AE74" s="162"/>
      <c r="AG74" s="187"/>
      <c r="AH74" s="187"/>
      <c r="AI74" s="187"/>
      <c r="AJ74" s="187"/>
      <c r="AK74" s="187"/>
      <c r="AL74" s="187"/>
      <c r="AM74" s="187"/>
      <c r="AN74" s="187"/>
    </row>
    <row r="75" spans="1:40" ht="45" x14ac:dyDescent="0.25">
      <c r="A75" s="178" t="s">
        <v>556</v>
      </c>
      <c r="B75" s="272"/>
      <c r="C75" s="272"/>
      <c r="D75" s="272"/>
      <c r="E75" s="180"/>
      <c r="F75" s="180"/>
      <c r="G75" s="180"/>
      <c r="H75" s="180"/>
      <c r="I75" s="180"/>
      <c r="J75" s="180"/>
      <c r="K75" s="163"/>
      <c r="L75" s="163"/>
      <c r="M75" s="163"/>
      <c r="N75" s="163"/>
      <c r="O75" s="163"/>
      <c r="P75" s="187" t="str">
        <f>+'PRESUPUESTO P'!C89</f>
        <v>ud</v>
      </c>
      <c r="Q75" s="234" t="s">
        <v>588</v>
      </c>
      <c r="R75" s="180"/>
      <c r="S75" s="180"/>
      <c r="T75" s="233"/>
      <c r="U75" s="180"/>
      <c r="V75" s="180"/>
      <c r="W75" s="180"/>
      <c r="X75" s="180"/>
      <c r="Y75" s="180"/>
      <c r="Z75" s="180"/>
      <c r="AA75" s="180"/>
      <c r="AB75" s="187">
        <f t="shared" si="3"/>
        <v>0</v>
      </c>
      <c r="AC75" s="162"/>
      <c r="AD75" s="162"/>
      <c r="AE75" s="162"/>
      <c r="AG75" s="187"/>
      <c r="AH75" s="187"/>
      <c r="AI75" s="187"/>
      <c r="AJ75" s="187"/>
      <c r="AK75" s="187"/>
      <c r="AL75" s="187"/>
      <c r="AM75" s="187"/>
      <c r="AN75" s="187"/>
    </row>
    <row r="76" spans="1:40" ht="45" x14ac:dyDescent="0.25">
      <c r="A76" s="178" t="s">
        <v>589</v>
      </c>
      <c r="B76" s="272"/>
      <c r="C76" s="272"/>
      <c r="D76" s="272"/>
      <c r="E76" s="180"/>
      <c r="F76" s="180"/>
      <c r="G76" s="180"/>
      <c r="H76" s="180"/>
      <c r="I76" s="180"/>
      <c r="J76" s="180"/>
      <c r="K76" s="163"/>
      <c r="L76" s="163"/>
      <c r="M76" s="163"/>
      <c r="N76" s="163"/>
      <c r="O76" s="163"/>
      <c r="P76" s="187" t="str">
        <f>+'PRESUPUESTO P'!C90</f>
        <v>ud</v>
      </c>
      <c r="Q76" s="234" t="s">
        <v>588</v>
      </c>
      <c r="R76" s="180"/>
      <c r="S76" s="180"/>
      <c r="T76" s="233"/>
      <c r="U76" s="180"/>
      <c r="V76" s="180"/>
      <c r="W76" s="180"/>
      <c r="X76" s="180"/>
      <c r="Y76" s="180"/>
      <c r="Z76" s="180"/>
      <c r="AA76" s="180"/>
      <c r="AB76" s="187">
        <f t="shared" si="3"/>
        <v>0</v>
      </c>
      <c r="AC76" s="162"/>
      <c r="AD76" s="162"/>
      <c r="AE76" s="162"/>
      <c r="AG76" s="187"/>
      <c r="AH76" s="187"/>
      <c r="AI76" s="187"/>
      <c r="AJ76" s="187"/>
      <c r="AK76" s="187"/>
      <c r="AL76" s="187"/>
      <c r="AM76" s="187"/>
      <c r="AN76" s="187"/>
    </row>
    <row r="77" spans="1:40" ht="168" x14ac:dyDescent="0.35">
      <c r="A77" s="178" t="s">
        <v>559</v>
      </c>
      <c r="B77" s="272"/>
      <c r="C77" s="272"/>
      <c r="D77" s="272"/>
      <c r="E77" s="180"/>
      <c r="F77" s="180"/>
      <c r="G77" s="180"/>
      <c r="H77" s="180"/>
      <c r="I77" s="180"/>
      <c r="J77" s="180"/>
      <c r="K77" s="163"/>
      <c r="L77" s="163"/>
      <c r="M77" s="163"/>
      <c r="N77" s="163"/>
      <c r="O77" s="163"/>
      <c r="P77" s="187" t="str">
        <f>+'PRESUPUESTO P'!C91</f>
        <v>ud</v>
      </c>
      <c r="Q77" s="234" t="s">
        <v>588</v>
      </c>
      <c r="R77" s="180"/>
      <c r="S77" s="180"/>
      <c r="T77" s="235"/>
      <c r="U77" s="180"/>
      <c r="V77" s="180"/>
      <c r="W77" s="180"/>
      <c r="X77" s="180"/>
      <c r="Y77" s="180"/>
      <c r="Z77" s="180"/>
      <c r="AA77" s="180"/>
      <c r="AB77" s="187">
        <f t="shared" si="3"/>
        <v>0</v>
      </c>
      <c r="AC77" s="236" t="s">
        <v>590</v>
      </c>
      <c r="AD77" s="162"/>
      <c r="AE77" s="162"/>
      <c r="AG77" s="187"/>
      <c r="AH77" s="187"/>
      <c r="AI77" s="187"/>
      <c r="AJ77" s="187"/>
      <c r="AK77" s="187"/>
      <c r="AL77" s="187"/>
      <c r="AM77" s="187"/>
      <c r="AN77" s="187"/>
    </row>
    <row r="78" spans="1:40" ht="45" x14ac:dyDescent="0.25">
      <c r="A78" s="178" t="s">
        <v>560</v>
      </c>
      <c r="B78" s="272"/>
      <c r="C78" s="272"/>
      <c r="D78" s="272"/>
      <c r="E78" s="180"/>
      <c r="F78" s="180"/>
      <c r="G78" s="180"/>
      <c r="H78" s="180"/>
      <c r="I78" s="180"/>
      <c r="J78" s="180"/>
      <c r="K78" s="163"/>
      <c r="L78" s="163"/>
      <c r="M78" s="163"/>
      <c r="N78" s="163"/>
      <c r="O78" s="163"/>
      <c r="P78" s="187" t="str">
        <f>+'PRESUPUESTO P'!C92</f>
        <v>ud</v>
      </c>
      <c r="Q78" s="234" t="s">
        <v>588</v>
      </c>
      <c r="R78" s="180"/>
      <c r="S78" s="180"/>
      <c r="T78" s="233"/>
      <c r="U78" s="180"/>
      <c r="V78" s="180"/>
      <c r="W78" s="180"/>
      <c r="X78" s="180"/>
      <c r="Y78" s="180"/>
      <c r="Z78" s="180"/>
      <c r="AA78" s="180"/>
      <c r="AB78" s="187">
        <f t="shared" si="3"/>
        <v>0</v>
      </c>
      <c r="AC78" s="162"/>
      <c r="AD78" s="162"/>
      <c r="AE78" s="162"/>
      <c r="AG78" s="187"/>
      <c r="AH78" s="187"/>
      <c r="AI78" s="187"/>
      <c r="AJ78" s="187"/>
      <c r="AK78" s="187"/>
      <c r="AL78" s="187"/>
      <c r="AM78" s="187"/>
      <c r="AN78" s="187"/>
    </row>
    <row r="79" spans="1:40" ht="45" x14ac:dyDescent="0.25">
      <c r="A79" s="178" t="s">
        <v>218</v>
      </c>
      <c r="B79" s="272"/>
      <c r="C79" s="272"/>
      <c r="D79" s="272"/>
      <c r="E79" s="180"/>
      <c r="F79" s="180"/>
      <c r="G79" s="180"/>
      <c r="H79" s="180"/>
      <c r="I79" s="180"/>
      <c r="J79" s="180"/>
      <c r="K79" s="163"/>
      <c r="L79" s="163"/>
      <c r="M79" s="163"/>
      <c r="N79" s="163"/>
      <c r="O79" s="163"/>
      <c r="P79" s="187" t="str">
        <f>+'PRESUPUESTO P'!C93</f>
        <v>ud</v>
      </c>
      <c r="Q79" s="234" t="s">
        <v>588</v>
      </c>
      <c r="R79" s="180"/>
      <c r="S79" s="180"/>
      <c r="T79" s="233"/>
      <c r="U79" s="180"/>
      <c r="V79" s="180"/>
      <c r="W79" s="180"/>
      <c r="X79" s="180"/>
      <c r="Y79" s="180"/>
      <c r="Z79" s="180"/>
      <c r="AA79" s="180"/>
      <c r="AB79" s="187">
        <f t="shared" si="3"/>
        <v>0</v>
      </c>
      <c r="AC79" s="162"/>
      <c r="AD79" s="162"/>
      <c r="AE79" s="162"/>
      <c r="AG79" s="187"/>
      <c r="AH79" s="187"/>
      <c r="AI79" s="187"/>
      <c r="AJ79" s="187"/>
      <c r="AK79" s="187"/>
      <c r="AL79" s="187"/>
      <c r="AM79" s="187"/>
      <c r="AN79" s="187"/>
    </row>
    <row r="80" spans="1:40" ht="45" x14ac:dyDescent="0.25">
      <c r="A80" s="178" t="s">
        <v>219</v>
      </c>
      <c r="B80" s="272"/>
      <c r="C80" s="272"/>
      <c r="D80" s="272"/>
      <c r="E80" s="180"/>
      <c r="F80" s="180"/>
      <c r="G80" s="180"/>
      <c r="H80" s="180"/>
      <c r="I80" s="180"/>
      <c r="J80" s="180"/>
      <c r="K80" s="163"/>
      <c r="L80" s="163"/>
      <c r="M80" s="163"/>
      <c r="N80" s="163"/>
      <c r="O80" s="163"/>
      <c r="P80" s="187" t="str">
        <f>+'PRESUPUESTO P'!C94</f>
        <v>ud</v>
      </c>
      <c r="Q80" s="234" t="s">
        <v>588</v>
      </c>
      <c r="R80" s="180"/>
      <c r="S80" s="180"/>
      <c r="T80" s="233"/>
      <c r="U80" s="180"/>
      <c r="V80" s="180"/>
      <c r="W80" s="180"/>
      <c r="X80" s="180"/>
      <c r="Y80" s="180"/>
      <c r="Z80" s="180"/>
      <c r="AA80" s="180"/>
      <c r="AB80" s="187">
        <f t="shared" si="3"/>
        <v>0</v>
      </c>
      <c r="AC80" s="162"/>
      <c r="AD80" s="162"/>
      <c r="AE80" s="162"/>
      <c r="AG80" s="187"/>
      <c r="AH80" s="187"/>
      <c r="AI80" s="187"/>
      <c r="AJ80" s="187"/>
      <c r="AK80" s="187"/>
      <c r="AL80" s="187"/>
      <c r="AM80" s="187"/>
      <c r="AN80" s="187"/>
    </row>
    <row r="81" spans="1:40" x14ac:dyDescent="0.25">
      <c r="A81" s="178" t="s">
        <v>221</v>
      </c>
      <c r="B81" s="272"/>
      <c r="C81" s="272"/>
      <c r="D81" s="272"/>
      <c r="E81" s="180"/>
      <c r="F81" s="180"/>
      <c r="G81" s="180"/>
      <c r="H81" s="180"/>
      <c r="I81" s="180"/>
      <c r="J81" s="180"/>
      <c r="K81" s="163"/>
      <c r="L81" s="163"/>
      <c r="M81" s="163"/>
      <c r="N81" s="163"/>
      <c r="O81" s="163"/>
      <c r="P81" s="187" t="str">
        <f>+'PRESUPUESTO P'!C95</f>
        <v>ud</v>
      </c>
      <c r="Q81" s="187"/>
      <c r="R81" s="163"/>
      <c r="S81" s="163"/>
      <c r="T81" s="163"/>
      <c r="U81" s="217"/>
      <c r="V81" s="217"/>
      <c r="W81" s="217"/>
      <c r="X81" s="217"/>
      <c r="Y81" s="217"/>
      <c r="Z81" s="217"/>
      <c r="AA81" s="217"/>
      <c r="AB81" s="187">
        <f t="shared" si="3"/>
        <v>0</v>
      </c>
      <c r="AC81" s="162"/>
      <c r="AD81" s="162"/>
      <c r="AE81" s="162"/>
      <c r="AG81" s="187"/>
      <c r="AH81" s="187"/>
      <c r="AI81" s="187"/>
      <c r="AJ81" s="187"/>
      <c r="AK81" s="187"/>
      <c r="AL81" s="187"/>
      <c r="AM81" s="187"/>
      <c r="AN81" s="187"/>
    </row>
    <row r="82" spans="1:40" x14ac:dyDescent="0.25">
      <c r="A82" s="178" t="s">
        <v>579</v>
      </c>
      <c r="B82" s="272"/>
      <c r="C82" s="272"/>
      <c r="D82" s="272"/>
      <c r="E82" s="180"/>
      <c r="F82" s="180"/>
      <c r="G82" s="180"/>
      <c r="H82" s="180"/>
      <c r="I82" s="180"/>
      <c r="J82" s="180"/>
      <c r="K82" s="163"/>
      <c r="L82" s="163"/>
      <c r="M82" s="163"/>
      <c r="N82" s="163"/>
      <c r="O82" s="163"/>
      <c r="P82" s="187" t="str">
        <f>+'PRESUPUESTO P'!C96</f>
        <v>ud</v>
      </c>
      <c r="Q82" s="187"/>
      <c r="R82" s="163"/>
      <c r="S82" s="163"/>
      <c r="T82" s="163"/>
      <c r="U82" s="217"/>
      <c r="V82" s="217"/>
      <c r="W82" s="217"/>
      <c r="X82" s="217"/>
      <c r="Y82" s="217"/>
      <c r="Z82" s="217"/>
      <c r="AA82" s="217"/>
      <c r="AB82" s="187">
        <f t="shared" si="3"/>
        <v>0</v>
      </c>
      <c r="AC82" s="162"/>
      <c r="AD82" s="162"/>
      <c r="AE82" s="162"/>
      <c r="AG82" s="187"/>
      <c r="AH82" s="187"/>
      <c r="AI82" s="187"/>
      <c r="AJ82" s="187"/>
      <c r="AK82" s="187"/>
      <c r="AL82" s="187"/>
      <c r="AM82" s="187"/>
      <c r="AN82" s="187"/>
    </row>
    <row r="83" spans="1:40" x14ac:dyDescent="0.25">
      <c r="R83" s="162"/>
      <c r="S83" s="162"/>
      <c r="T83" s="162"/>
      <c r="U83" s="187"/>
      <c r="V83" s="187"/>
      <c r="W83" s="187"/>
      <c r="X83" s="162"/>
      <c r="Y83" s="162"/>
      <c r="Z83" s="162"/>
      <c r="AG83" s="187"/>
      <c r="AH83" s="187"/>
      <c r="AI83" s="187"/>
    </row>
    <row r="84" spans="1:40" x14ac:dyDescent="0.25">
      <c r="R84" s="162"/>
      <c r="S84" s="162"/>
      <c r="T84" s="162"/>
      <c r="U84" s="187"/>
      <c r="V84" s="187"/>
      <c r="W84" s="187"/>
      <c r="X84" s="162"/>
      <c r="Y84" s="162"/>
      <c r="Z84" s="162"/>
      <c r="AG84" s="187"/>
      <c r="AH84" s="187"/>
      <c r="AI84" s="187"/>
    </row>
    <row r="85" spans="1:40" x14ac:dyDescent="0.25">
      <c r="R85" s="162"/>
      <c r="S85" s="162"/>
      <c r="T85" s="162"/>
      <c r="U85" s="187"/>
      <c r="V85" s="187"/>
      <c r="W85" s="187"/>
      <c r="X85" s="162"/>
      <c r="Y85" s="162"/>
      <c r="Z85" s="162"/>
      <c r="AG85" s="187"/>
      <c r="AH85" s="187"/>
      <c r="AI85" s="187"/>
    </row>
    <row r="86" spans="1:40" x14ac:dyDescent="0.25">
      <c r="R86" s="162"/>
      <c r="S86" s="162"/>
      <c r="T86" s="162"/>
      <c r="U86" s="187"/>
      <c r="V86" s="187"/>
      <c r="W86" s="187"/>
      <c r="X86" s="162"/>
      <c r="Y86" s="162"/>
      <c r="Z86" s="162"/>
      <c r="AG86" s="187"/>
      <c r="AH86" s="187"/>
      <c r="AI86" s="187"/>
    </row>
    <row r="87" spans="1:40" x14ac:dyDescent="0.25">
      <c r="R87" s="162"/>
      <c r="S87" s="162"/>
      <c r="T87" s="162"/>
      <c r="U87" s="187"/>
      <c r="V87" s="187"/>
      <c r="W87" s="187"/>
      <c r="X87" s="162"/>
      <c r="Y87" s="162"/>
      <c r="Z87" s="162"/>
      <c r="AG87" s="187"/>
      <c r="AH87" s="187"/>
      <c r="AI87" s="187"/>
    </row>
    <row r="88" spans="1:40" x14ac:dyDescent="0.25">
      <c r="R88" s="162"/>
      <c r="S88" s="162"/>
      <c r="T88" s="162"/>
      <c r="U88" s="187"/>
      <c r="V88" s="187"/>
      <c r="W88" s="187"/>
      <c r="X88" s="162"/>
      <c r="Y88" s="162"/>
      <c r="Z88" s="162"/>
      <c r="AG88" s="187"/>
      <c r="AH88" s="187"/>
      <c r="AI88" s="187"/>
    </row>
    <row r="89" spans="1:40" x14ac:dyDescent="0.25">
      <c r="R89" s="162"/>
      <c r="S89" s="162"/>
      <c r="T89" s="162"/>
      <c r="U89" s="187"/>
      <c r="V89" s="187"/>
      <c r="W89" s="187"/>
      <c r="X89" s="162"/>
      <c r="Y89" s="162"/>
      <c r="Z89" s="162"/>
      <c r="AG89" s="187"/>
      <c r="AH89" s="187"/>
      <c r="AI89" s="187"/>
    </row>
    <row r="90" spans="1:40" x14ac:dyDescent="0.25">
      <c r="R90" s="162"/>
      <c r="S90" s="162"/>
      <c r="T90" s="162"/>
      <c r="U90" s="187"/>
      <c r="V90" s="187"/>
      <c r="W90" s="187"/>
      <c r="X90" s="162"/>
      <c r="Y90" s="162"/>
      <c r="Z90" s="162"/>
      <c r="AG90" s="187"/>
      <c r="AH90" s="187"/>
      <c r="AI90" s="187"/>
    </row>
    <row r="91" spans="1:40" x14ac:dyDescent="0.25">
      <c r="R91" s="162"/>
      <c r="S91" s="162"/>
      <c r="T91" s="162"/>
      <c r="U91" s="187"/>
      <c r="V91" s="187"/>
      <c r="W91" s="187"/>
      <c r="X91" s="162"/>
      <c r="Y91" s="162"/>
      <c r="Z91" s="162"/>
      <c r="AG91" s="187"/>
      <c r="AH91" s="187"/>
      <c r="AI91" s="187"/>
    </row>
    <row r="92" spans="1:40" x14ac:dyDescent="0.25">
      <c r="R92" s="162"/>
      <c r="S92" s="162"/>
      <c r="T92" s="162"/>
      <c r="U92" s="187"/>
      <c r="V92" s="187"/>
      <c r="W92" s="187"/>
      <c r="X92" s="162"/>
      <c r="Y92" s="162"/>
      <c r="Z92" s="162"/>
      <c r="AG92" s="187"/>
      <c r="AH92" s="187"/>
      <c r="AI92" s="187"/>
    </row>
    <row r="93" spans="1:40" x14ac:dyDescent="0.25">
      <c r="R93" s="162"/>
      <c r="S93" s="162"/>
      <c r="T93" s="162"/>
      <c r="U93" s="187"/>
      <c r="V93" s="187"/>
      <c r="W93" s="187"/>
      <c r="X93" s="162"/>
      <c r="Y93" s="162"/>
      <c r="Z93" s="162"/>
      <c r="AG93" s="187"/>
      <c r="AH93" s="187"/>
      <c r="AI93" s="187"/>
    </row>
    <row r="94" spans="1:40" x14ac:dyDescent="0.25">
      <c r="R94" s="162"/>
      <c r="S94" s="162"/>
      <c r="T94" s="162"/>
      <c r="U94" s="187"/>
      <c r="V94" s="187"/>
      <c r="W94" s="187"/>
      <c r="X94" s="162"/>
      <c r="Y94" s="162"/>
      <c r="Z94" s="162"/>
      <c r="AG94" s="187"/>
      <c r="AH94" s="187"/>
      <c r="AI94" s="187"/>
    </row>
    <row r="95" spans="1:40" x14ac:dyDescent="0.25">
      <c r="R95" s="162"/>
      <c r="S95" s="162"/>
      <c r="T95" s="162"/>
      <c r="U95" s="187"/>
      <c r="V95" s="187"/>
      <c r="W95" s="187"/>
      <c r="X95" s="162"/>
      <c r="Y95" s="162"/>
      <c r="Z95" s="162"/>
      <c r="AG95" s="187"/>
      <c r="AH95" s="187"/>
      <c r="AI95" s="187"/>
    </row>
    <row r="96" spans="1:40" x14ac:dyDescent="0.25">
      <c r="R96" s="162"/>
      <c r="S96" s="162"/>
      <c r="T96" s="162"/>
      <c r="U96" s="187"/>
      <c r="V96" s="187"/>
      <c r="W96" s="187"/>
      <c r="X96" s="162"/>
      <c r="Y96" s="162"/>
      <c r="Z96" s="162"/>
      <c r="AG96" s="187"/>
      <c r="AH96" s="187"/>
      <c r="AI96" s="187"/>
    </row>
    <row r="97" spans="18:35" x14ac:dyDescent="0.25">
      <c r="R97" s="162"/>
      <c r="S97" s="162"/>
      <c r="T97" s="162"/>
      <c r="U97" s="187"/>
      <c r="V97" s="187"/>
      <c r="W97" s="187"/>
      <c r="X97" s="162"/>
      <c r="Y97" s="162"/>
      <c r="Z97" s="162"/>
      <c r="AG97" s="187"/>
      <c r="AH97" s="187"/>
      <c r="AI97" s="187"/>
    </row>
    <row r="98" spans="18:35" x14ac:dyDescent="0.25">
      <c r="R98" s="162"/>
      <c r="S98" s="162"/>
      <c r="T98" s="162"/>
      <c r="U98" s="187"/>
      <c r="V98" s="187"/>
      <c r="W98" s="187"/>
      <c r="X98" s="162"/>
      <c r="Y98" s="162"/>
      <c r="Z98" s="162"/>
      <c r="AG98" s="187"/>
      <c r="AH98" s="187"/>
      <c r="AI98" s="187"/>
    </row>
    <row r="99" spans="18:35" x14ac:dyDescent="0.25">
      <c r="R99" s="162"/>
      <c r="S99" s="162"/>
      <c r="T99" s="162"/>
      <c r="U99" s="187"/>
      <c r="V99" s="187"/>
      <c r="W99" s="187"/>
      <c r="X99" s="162"/>
      <c r="Y99" s="162"/>
      <c r="Z99" s="162"/>
      <c r="AG99" s="187"/>
      <c r="AH99" s="187"/>
      <c r="AI99" s="187"/>
    </row>
    <row r="100" spans="18:35" x14ac:dyDescent="0.25">
      <c r="R100" s="162"/>
      <c r="S100" s="162"/>
      <c r="T100" s="162"/>
      <c r="U100" s="187"/>
      <c r="V100" s="187"/>
      <c r="W100" s="187"/>
      <c r="X100" s="162"/>
      <c r="Y100" s="162"/>
      <c r="Z100" s="162"/>
      <c r="AG100" s="187"/>
      <c r="AH100" s="187"/>
      <c r="AI100" s="187"/>
    </row>
    <row r="101" spans="18:35" x14ac:dyDescent="0.25">
      <c r="R101" s="162"/>
      <c r="S101" s="162"/>
      <c r="T101" s="162"/>
      <c r="U101" s="187"/>
      <c r="V101" s="187"/>
      <c r="W101" s="187"/>
      <c r="X101" s="162"/>
      <c r="Y101" s="162"/>
      <c r="Z101" s="162"/>
      <c r="AG101" s="187"/>
      <c r="AH101" s="187"/>
      <c r="AI101" s="187"/>
    </row>
    <row r="102" spans="18:35" x14ac:dyDescent="0.25">
      <c r="R102" s="162"/>
      <c r="S102" s="162"/>
      <c r="T102" s="162"/>
      <c r="U102" s="187"/>
      <c r="V102" s="187"/>
      <c r="W102" s="187"/>
      <c r="X102" s="162"/>
      <c r="Y102" s="162"/>
      <c r="Z102" s="162"/>
      <c r="AG102" s="187"/>
      <c r="AH102" s="187"/>
      <c r="AI102" s="187"/>
    </row>
    <row r="103" spans="18:35" x14ac:dyDescent="0.25">
      <c r="R103" s="162"/>
      <c r="S103" s="162"/>
      <c r="T103" s="162"/>
      <c r="U103" s="187"/>
      <c r="V103" s="187"/>
      <c r="W103" s="187"/>
      <c r="X103" s="162"/>
      <c r="Y103" s="162"/>
      <c r="Z103" s="162"/>
      <c r="AG103" s="187"/>
      <c r="AH103" s="187"/>
      <c r="AI103" s="187"/>
    </row>
  </sheetData>
  <autoFilter ref="A48:L82" xr:uid="{43F19B43-8438-4FD2-A65F-ED0161C0D588}"/>
  <mergeCells count="19">
    <mergeCell ref="B2:H2"/>
    <mergeCell ref="B10:J10"/>
    <mergeCell ref="B11:J11"/>
    <mergeCell ref="B12:J12"/>
    <mergeCell ref="A13:Q13"/>
    <mergeCell ref="R13:T13"/>
    <mergeCell ref="AA13:AC13"/>
    <mergeCell ref="AD13:AF13"/>
    <mergeCell ref="A41:I41"/>
    <mergeCell ref="A42:I42"/>
    <mergeCell ref="B22:J22"/>
    <mergeCell ref="B23:J23"/>
    <mergeCell ref="B24:J24"/>
    <mergeCell ref="X19:Z19"/>
    <mergeCell ref="AA19:AC19"/>
    <mergeCell ref="AD19:AF19"/>
    <mergeCell ref="X13:Z13"/>
    <mergeCell ref="U13:W13"/>
    <mergeCell ref="A28:I28"/>
  </mergeCells>
  <phoneticPr fontId="12" type="noConversion"/>
  <conditionalFormatting sqref="R19:T19">
    <cfRule type="cellIs" dxfId="50" priority="2" operator="notEqual">
      <formula>1</formula>
    </cfRule>
  </conditionalFormatting>
  <conditionalFormatting sqref="AB49:AB82">
    <cfRule type="cellIs" dxfId="49" priority="1" operator="notEqual">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EC517-7231-4B8A-8277-8A1CD0C44473}">
  <dimension ref="A1:AA39"/>
  <sheetViews>
    <sheetView topLeftCell="A12" zoomScale="115" zoomScaleNormal="115" workbookViewId="0">
      <selection activeCell="B13" sqref="B13"/>
    </sheetView>
  </sheetViews>
  <sheetFormatPr baseColWidth="10" defaultRowHeight="15" x14ac:dyDescent="0.25"/>
  <cols>
    <col min="1" max="1" width="42.140625" bestFit="1" customWidth="1"/>
    <col min="2" max="2" width="9" bestFit="1" customWidth="1"/>
    <col min="3" max="5" width="15.28515625" customWidth="1"/>
    <col min="8" max="8" width="26.5703125" bestFit="1" customWidth="1"/>
  </cols>
  <sheetData>
    <row r="1" spans="1:27" s="1" customFormat="1" x14ac:dyDescent="0.25">
      <c r="A1" s="37" t="s">
        <v>93</v>
      </c>
      <c r="C1" s="230" t="s">
        <v>564</v>
      </c>
      <c r="D1" s="219" t="s">
        <v>565</v>
      </c>
      <c r="E1" s="219" t="s">
        <v>566</v>
      </c>
      <c r="F1" s="33"/>
      <c r="G1" s="33"/>
      <c r="H1" s="33"/>
      <c r="I1" s="33"/>
      <c r="J1" s="33"/>
      <c r="K1" s="33"/>
      <c r="L1" s="33"/>
      <c r="M1" s="33"/>
      <c r="N1" s="33"/>
      <c r="O1" s="33"/>
      <c r="P1" s="33"/>
      <c r="Q1" s="33"/>
      <c r="R1" s="33"/>
      <c r="S1" s="33"/>
      <c r="T1" s="33"/>
      <c r="U1" s="33"/>
    </row>
    <row r="2" spans="1:27" s="1" customFormat="1" x14ac:dyDescent="0.25">
      <c r="A2" s="228" t="s">
        <v>619</v>
      </c>
      <c r="B2" s="2">
        <v>6</v>
      </c>
      <c r="E2" s="218" t="s">
        <v>586</v>
      </c>
      <c r="F2" s="33"/>
      <c r="G2" s="33"/>
      <c r="H2" s="33"/>
      <c r="I2" s="33"/>
      <c r="J2" s="33"/>
      <c r="K2" s="33"/>
      <c r="L2" s="33"/>
      <c r="M2" s="33"/>
      <c r="N2" s="33"/>
      <c r="O2" s="33"/>
      <c r="P2" s="33"/>
      <c r="Q2" s="33"/>
      <c r="R2" s="33"/>
      <c r="S2" s="33"/>
      <c r="T2" s="33"/>
      <c r="U2" s="33"/>
    </row>
    <row r="3" spans="1:27" s="1" customFormat="1" x14ac:dyDescent="0.25">
      <c r="A3" s="228" t="s">
        <v>620</v>
      </c>
      <c r="B3" s="2">
        <v>6</v>
      </c>
      <c r="E3" s="218" t="s">
        <v>586</v>
      </c>
      <c r="F3" s="33"/>
      <c r="G3" s="33"/>
      <c r="H3" s="33"/>
      <c r="I3" s="33"/>
      <c r="J3" s="33"/>
      <c r="K3" s="33"/>
      <c r="L3" s="33"/>
      <c r="M3" s="33"/>
      <c r="N3" s="33"/>
      <c r="O3" s="33"/>
      <c r="P3" s="33"/>
      <c r="Q3" s="33"/>
      <c r="R3" s="33"/>
      <c r="S3" s="33"/>
      <c r="T3" s="33"/>
      <c r="U3" s="33"/>
    </row>
    <row r="4" spans="1:27" s="1" customFormat="1" ht="75" x14ac:dyDescent="0.25">
      <c r="A4" s="228" t="s">
        <v>100</v>
      </c>
      <c r="B4" s="2">
        <v>2</v>
      </c>
      <c r="C4" s="237" t="str">
        <f>+'1.- datos aéreo'!K37</f>
        <v xml:space="preserve"> LONGITUD EN EL TTMM DE ARRATZUA - UBARRUNDIA (Álava)</v>
      </c>
      <c r="D4" s="237" t="str">
        <f>+'1.- datos aéreo'!L37</f>
        <v xml:space="preserve"> LONGITUD EN EL TTMM DE  ZIGOITIA (Álava)</v>
      </c>
      <c r="E4" s="237"/>
      <c r="F4" s="33" t="s">
        <v>587</v>
      </c>
      <c r="G4" s="33"/>
      <c r="H4" s="33"/>
      <c r="I4" s="33"/>
      <c r="J4" s="33"/>
      <c r="K4" s="33"/>
      <c r="L4" s="33"/>
      <c r="M4" s="33"/>
      <c r="N4" s="33"/>
      <c r="O4" s="33"/>
      <c r="P4" s="33"/>
      <c r="Q4" s="33"/>
      <c r="R4" s="33"/>
      <c r="S4" s="33"/>
      <c r="T4" s="33"/>
      <c r="U4" s="33"/>
    </row>
    <row r="5" spans="1:27" s="1" customFormat="1" x14ac:dyDescent="0.25">
      <c r="A5" s="228" t="s">
        <v>117</v>
      </c>
      <c r="B5" s="222">
        <f>SUM(C5:E5)</f>
        <v>0</v>
      </c>
      <c r="C5" s="2"/>
      <c r="D5" s="2"/>
      <c r="E5" s="2"/>
      <c r="F5" s="223">
        <f>+B5-SUM(C5:E5)</f>
        <v>0</v>
      </c>
      <c r="G5" s="33"/>
      <c r="H5" s="33"/>
      <c r="I5" s="33"/>
      <c r="J5" s="33"/>
      <c r="K5" s="33"/>
      <c r="L5" s="33"/>
      <c r="M5" s="33"/>
      <c r="N5" s="33"/>
      <c r="O5" s="33"/>
      <c r="P5" s="33"/>
      <c r="Q5" s="33"/>
      <c r="R5" s="33"/>
      <c r="S5" s="33"/>
      <c r="T5" s="33"/>
      <c r="U5" s="33"/>
    </row>
    <row r="6" spans="1:27" s="1" customFormat="1" x14ac:dyDescent="0.25">
      <c r="A6" s="229" t="s">
        <v>91</v>
      </c>
      <c r="B6" s="222">
        <f>+'1.- datos aéreo'!J41</f>
        <v>2206</v>
      </c>
      <c r="C6" s="222">
        <f>+'1.- datos aéreo'!K41</f>
        <v>0</v>
      </c>
      <c r="D6" s="222"/>
      <c r="E6" s="222"/>
      <c r="F6" s="223">
        <f>+B6-SUM(C6:E6)</f>
        <v>2206</v>
      </c>
      <c r="H6" s="4"/>
      <c r="I6" s="4"/>
      <c r="J6" s="4"/>
      <c r="L6" s="33"/>
      <c r="M6" s="33"/>
      <c r="N6" s="33"/>
      <c r="O6" s="33"/>
      <c r="P6" s="33"/>
      <c r="Q6" s="33"/>
      <c r="R6" s="33"/>
      <c r="S6" s="33"/>
      <c r="T6" s="33"/>
      <c r="U6" s="33"/>
      <c r="V6" s="33"/>
      <c r="W6" s="33"/>
      <c r="X6" s="33"/>
      <c r="Y6" s="33"/>
      <c r="Z6" s="33"/>
      <c r="AA6" s="33"/>
    </row>
    <row r="7" spans="1:27" s="1" customFormat="1" x14ac:dyDescent="0.25">
      <c r="A7" s="229" t="s">
        <v>92</v>
      </c>
      <c r="B7" s="222">
        <f>+B8*110/2</f>
        <v>0</v>
      </c>
      <c r="C7" s="231">
        <f>+C8*110/2</f>
        <v>0</v>
      </c>
      <c r="D7" s="231">
        <f>+D8*110/2</f>
        <v>0</v>
      </c>
      <c r="E7" s="222"/>
      <c r="F7" s="223">
        <f t="shared" ref="F7:F19" si="0">+B7-SUM(C7:E7)</f>
        <v>0</v>
      </c>
      <c r="H7" s="4" t="s">
        <v>613</v>
      </c>
      <c r="I7" s="4"/>
      <c r="J7" s="4"/>
      <c r="L7" s="33"/>
      <c r="M7" s="33"/>
      <c r="N7" s="33"/>
      <c r="O7" s="33"/>
      <c r="P7" s="33"/>
      <c r="Q7" s="33"/>
      <c r="R7" s="33"/>
      <c r="S7" s="33"/>
      <c r="T7" s="33"/>
      <c r="U7" s="33"/>
      <c r="V7" s="33"/>
      <c r="W7" s="33"/>
      <c r="X7" s="33"/>
      <c r="Y7" s="33"/>
      <c r="Z7" s="33"/>
      <c r="AA7" s="33"/>
    </row>
    <row r="8" spans="1:27" s="1" customFormat="1" x14ac:dyDescent="0.25">
      <c r="A8" s="229" t="s">
        <v>545</v>
      </c>
      <c r="B8" s="222">
        <v>0</v>
      </c>
      <c r="C8" s="231">
        <v>0</v>
      </c>
      <c r="D8" s="222">
        <v>0</v>
      </c>
      <c r="E8" s="222"/>
      <c r="F8" s="223">
        <f t="shared" si="0"/>
        <v>0</v>
      </c>
      <c r="H8" s="4" t="s">
        <v>546</v>
      </c>
      <c r="I8" s="4"/>
      <c r="J8" s="4" t="s">
        <v>547</v>
      </c>
      <c r="L8" s="33"/>
      <c r="M8" s="33"/>
      <c r="N8" s="33"/>
      <c r="O8" s="33"/>
      <c r="P8" s="33"/>
      <c r="Q8" s="33"/>
      <c r="R8" s="33"/>
      <c r="S8" s="33"/>
      <c r="T8" s="33"/>
      <c r="U8" s="33"/>
      <c r="V8" s="33"/>
      <c r="W8" s="33"/>
      <c r="X8" s="33"/>
      <c r="Y8" s="33"/>
      <c r="Z8" s="33"/>
      <c r="AA8" s="33"/>
    </row>
    <row r="9" spans="1:27" s="1" customFormat="1" x14ac:dyDescent="0.25">
      <c r="A9" s="229" t="s">
        <v>628</v>
      </c>
      <c r="B9" s="222">
        <f>+B7*1.1+(B6-B7)*1.05</f>
        <v>2316.3000000000002</v>
      </c>
      <c r="C9" s="224">
        <f>+C7*1.1+(C6-C7)*1.05</f>
        <v>0</v>
      </c>
      <c r="D9" s="224">
        <f>+D7*1.1+(D6-D7)*1.05</f>
        <v>0</v>
      </c>
      <c r="E9" s="224"/>
      <c r="F9" s="223">
        <f t="shared" si="0"/>
        <v>2316.3000000000002</v>
      </c>
      <c r="H9" s="4"/>
      <c r="I9" s="4"/>
      <c r="J9" s="4"/>
      <c r="L9" s="33"/>
      <c r="M9" s="33"/>
      <c r="N9" s="33"/>
      <c r="O9" s="33"/>
      <c r="P9" s="33"/>
      <c r="Q9" s="33"/>
      <c r="R9" s="33"/>
      <c r="S9" s="33"/>
      <c r="T9" s="33"/>
      <c r="U9" s="33"/>
      <c r="V9" s="33"/>
      <c r="W9" s="33"/>
      <c r="X9" s="33"/>
      <c r="Y9" s="33"/>
      <c r="Z9" s="33"/>
      <c r="AA9" s="33"/>
    </row>
    <row r="10" spans="1:27" s="1" customFormat="1" x14ac:dyDescent="0.25">
      <c r="A10" s="229" t="s">
        <v>627</v>
      </c>
      <c r="B10" s="222">
        <f>+B7*1.1+(B6-B7)*1.05</f>
        <v>2316.3000000000002</v>
      </c>
      <c r="C10" s="224">
        <f>+C8*1.1+(C7-C8)*1.05</f>
        <v>0</v>
      </c>
      <c r="D10" s="224">
        <f>+D8*1.1+(D7-D8)*1.05</f>
        <v>0</v>
      </c>
      <c r="E10" s="224"/>
      <c r="F10" s="223">
        <f t="shared" ref="F10" si="1">+B10-SUM(C10:E10)</f>
        <v>2316.3000000000002</v>
      </c>
      <c r="H10" s="4"/>
      <c r="I10" s="4"/>
      <c r="J10" s="4"/>
      <c r="L10" s="33"/>
      <c r="M10" s="33"/>
      <c r="N10" s="33"/>
      <c r="O10" s="33"/>
      <c r="P10" s="33"/>
      <c r="Q10" s="33"/>
      <c r="R10" s="33"/>
      <c r="S10" s="33"/>
      <c r="T10" s="33"/>
      <c r="U10" s="33"/>
      <c r="V10" s="33"/>
      <c r="W10" s="33"/>
      <c r="X10" s="33"/>
      <c r="Y10" s="33"/>
      <c r="Z10" s="33"/>
      <c r="AA10" s="33"/>
    </row>
    <row r="11" spans="1:27" s="218" customFormat="1" x14ac:dyDescent="0.25">
      <c r="A11" s="229" t="s">
        <v>624</v>
      </c>
      <c r="B11" s="222">
        <f>'1.- datos aéreo'!J38*3+'1.- datos aéreo'!J39*3+'1.- datos aéreo'!J40*6</f>
        <v>13185.99</v>
      </c>
      <c r="C11" s="224">
        <f>+C9*$B$3</f>
        <v>0</v>
      </c>
      <c r="D11" s="224">
        <f>+D9*$B$3</f>
        <v>0</v>
      </c>
      <c r="E11" s="224"/>
      <c r="F11" s="223">
        <f t="shared" si="0"/>
        <v>13185.99</v>
      </c>
      <c r="H11" s="220"/>
      <c r="I11" s="220"/>
      <c r="J11" s="220"/>
      <c r="L11" s="221"/>
      <c r="M11" s="221"/>
      <c r="N11" s="221"/>
      <c r="O11" s="221"/>
      <c r="P11" s="221"/>
      <c r="Q11" s="221"/>
      <c r="R11" s="221"/>
      <c r="S11" s="221"/>
      <c r="T11" s="221"/>
      <c r="U11" s="221"/>
      <c r="V11" s="221"/>
      <c r="W11" s="221"/>
      <c r="X11" s="221"/>
      <c r="Y11" s="221"/>
      <c r="Z11" s="221"/>
      <c r="AA11" s="221"/>
    </row>
    <row r="12" spans="1:27" s="218" customFormat="1" x14ac:dyDescent="0.25">
      <c r="A12" s="229" t="s">
        <v>625</v>
      </c>
      <c r="B12" s="222">
        <f>'1.- datos aéreo'!J38*3+'1.- datos aéreo'!J39*3+'1.- datos aéreo'!J40*6</f>
        <v>13185.99</v>
      </c>
      <c r="C12" s="224">
        <f>+C11*$B$3</f>
        <v>0</v>
      </c>
      <c r="D12" s="224">
        <f>+D11*$B$3</f>
        <v>0</v>
      </c>
      <c r="E12" s="224"/>
      <c r="F12" s="223">
        <f t="shared" ref="F12" si="2">+B12-SUM(C12:E12)</f>
        <v>13185.99</v>
      </c>
      <c r="H12" s="220"/>
      <c r="I12" s="220"/>
      <c r="J12" s="220"/>
      <c r="L12" s="221"/>
      <c r="M12" s="221"/>
      <c r="N12" s="221"/>
      <c r="O12" s="221"/>
      <c r="P12" s="221"/>
      <c r="Q12" s="221"/>
      <c r="R12" s="221"/>
      <c r="S12" s="221"/>
      <c r="T12" s="221"/>
      <c r="U12" s="221"/>
      <c r="V12" s="221"/>
      <c r="W12" s="221"/>
      <c r="X12" s="221"/>
      <c r="Y12" s="221"/>
      <c r="Z12" s="221"/>
      <c r="AA12" s="221"/>
    </row>
    <row r="13" spans="1:27" s="218" customFormat="1" x14ac:dyDescent="0.25">
      <c r="A13" s="229" t="s">
        <v>582</v>
      </c>
      <c r="B13" s="222">
        <f>B9*B4</f>
        <v>4632.6000000000004</v>
      </c>
      <c r="C13" s="224">
        <f>+C11/$B$3*$B$4</f>
        <v>0</v>
      </c>
      <c r="D13" s="224">
        <f>+D11/$B$3*$B$4</f>
        <v>0</v>
      </c>
      <c r="E13" s="224"/>
      <c r="F13" s="223">
        <f t="shared" si="0"/>
        <v>4632.6000000000004</v>
      </c>
      <c r="H13" s="220"/>
      <c r="I13" s="220"/>
      <c r="J13" s="220"/>
      <c r="L13" s="221"/>
      <c r="M13" s="221"/>
      <c r="N13" s="221"/>
      <c r="O13" s="221"/>
      <c r="P13" s="221"/>
      <c r="Q13" s="221"/>
      <c r="R13" s="221"/>
      <c r="S13" s="221"/>
      <c r="T13" s="221"/>
      <c r="U13" s="221"/>
      <c r="V13" s="221"/>
      <c r="W13" s="221"/>
      <c r="X13" s="221"/>
      <c r="Y13" s="221"/>
      <c r="Z13" s="221"/>
      <c r="AA13" s="221"/>
    </row>
    <row r="14" spans="1:27" s="1" customFormat="1" x14ac:dyDescent="0.25">
      <c r="A14" s="229" t="s">
        <v>102</v>
      </c>
      <c r="B14" s="222">
        <v>0</v>
      </c>
      <c r="C14" s="275">
        <f>+INT(C9/700)-1</f>
        <v>-1</v>
      </c>
      <c r="D14" s="275"/>
      <c r="E14" s="275"/>
      <c r="F14" s="223">
        <f t="shared" si="0"/>
        <v>1</v>
      </c>
      <c r="H14" s="4"/>
      <c r="I14" s="4"/>
      <c r="J14" s="4"/>
      <c r="L14" s="33"/>
      <c r="M14" s="33"/>
      <c r="N14" s="33"/>
      <c r="O14" s="33"/>
      <c r="P14" s="33"/>
      <c r="Q14" s="33"/>
      <c r="R14" s="33"/>
      <c r="S14" s="33"/>
      <c r="T14" s="33"/>
      <c r="U14" s="33"/>
      <c r="V14" s="33"/>
      <c r="W14" s="33"/>
      <c r="X14" s="33"/>
      <c r="Y14" s="33"/>
      <c r="Z14" s="33"/>
      <c r="AA14" s="33"/>
    </row>
    <row r="15" spans="1:27" s="1" customFormat="1" x14ac:dyDescent="0.25">
      <c r="A15" s="229" t="s">
        <v>103</v>
      </c>
      <c r="B15" s="222">
        <f>+B14*$B$3</f>
        <v>0</v>
      </c>
      <c r="C15" s="224">
        <f>+C14*$B$3</f>
        <v>-6</v>
      </c>
      <c r="D15" s="224">
        <f>+D14*$B$3</f>
        <v>0</v>
      </c>
      <c r="E15" s="224"/>
      <c r="F15" s="223">
        <f t="shared" si="0"/>
        <v>6</v>
      </c>
      <c r="H15" s="4"/>
      <c r="I15" s="4"/>
      <c r="J15" s="4"/>
      <c r="L15" s="33"/>
      <c r="M15" s="33"/>
      <c r="N15" s="33"/>
      <c r="O15" s="33"/>
      <c r="P15" s="33"/>
      <c r="Q15" s="33"/>
      <c r="R15" s="33"/>
      <c r="S15" s="33"/>
      <c r="T15" s="33"/>
      <c r="U15" s="33"/>
      <c r="V15" s="33"/>
      <c r="W15" s="33"/>
      <c r="X15" s="33"/>
      <c r="Y15" s="33"/>
      <c r="Z15" s="33"/>
      <c r="AA15" s="33"/>
    </row>
    <row r="16" spans="1:27" s="1" customFormat="1" x14ac:dyDescent="0.25">
      <c r="A16" s="229" t="s">
        <v>580</v>
      </c>
      <c r="B16" s="222">
        <v>1</v>
      </c>
      <c r="C16" s="231">
        <v>1</v>
      </c>
      <c r="D16" s="231">
        <v>0</v>
      </c>
      <c r="E16" s="231"/>
      <c r="F16" s="223">
        <f t="shared" si="0"/>
        <v>0</v>
      </c>
      <c r="H16" s="4"/>
      <c r="I16" s="4"/>
      <c r="J16" s="4"/>
      <c r="L16" s="33"/>
      <c r="M16" s="33"/>
      <c r="N16" s="33"/>
      <c r="O16" s="33"/>
      <c r="P16" s="33"/>
      <c r="Q16" s="33"/>
      <c r="R16" s="33"/>
      <c r="S16" s="33"/>
      <c r="T16" s="33"/>
      <c r="U16" s="33"/>
      <c r="V16" s="33"/>
      <c r="W16" s="33"/>
      <c r="X16" s="33"/>
      <c r="Y16" s="33"/>
      <c r="Z16" s="33"/>
      <c r="AA16" s="33"/>
    </row>
    <row r="17" spans="1:27" s="1" customFormat="1" x14ac:dyDescent="0.25">
      <c r="A17" s="229" t="s">
        <v>621</v>
      </c>
      <c r="B17" s="222">
        <f>B2</f>
        <v>6</v>
      </c>
      <c r="C17" s="232">
        <f>+C15*9</f>
        <v>-54</v>
      </c>
      <c r="D17" s="232">
        <f>+D15*9</f>
        <v>0</v>
      </c>
      <c r="E17" s="232"/>
      <c r="F17" s="223">
        <f t="shared" ref="F17" si="3">+B17-SUM(C17:E17)</f>
        <v>60</v>
      </c>
      <c r="H17" s="4"/>
      <c r="I17" s="4"/>
      <c r="J17" s="4"/>
      <c r="L17" s="33"/>
      <c r="M17" s="33"/>
      <c r="N17" s="33"/>
      <c r="O17" s="33"/>
      <c r="P17" s="33"/>
      <c r="Q17" s="33"/>
      <c r="R17" s="33"/>
      <c r="S17" s="33"/>
      <c r="T17" s="33"/>
      <c r="U17" s="33"/>
      <c r="V17" s="33"/>
      <c r="W17" s="33"/>
      <c r="X17" s="33"/>
      <c r="Y17" s="33"/>
      <c r="Z17" s="33"/>
      <c r="AA17" s="33"/>
    </row>
    <row r="18" spans="1:27" s="1" customFormat="1" x14ac:dyDescent="0.25">
      <c r="A18" s="229" t="s">
        <v>622</v>
      </c>
      <c r="B18" s="222">
        <f>B3</f>
        <v>6</v>
      </c>
      <c r="C18" s="232">
        <f>+C16*9</f>
        <v>9</v>
      </c>
      <c r="D18" s="232">
        <f>+D16*9</f>
        <v>0</v>
      </c>
      <c r="E18" s="232"/>
      <c r="F18" s="223">
        <f t="shared" si="0"/>
        <v>-3</v>
      </c>
      <c r="H18" s="4"/>
      <c r="I18" s="4"/>
      <c r="J18" s="4"/>
      <c r="L18" s="33"/>
      <c r="M18" s="33"/>
      <c r="N18" s="33"/>
      <c r="O18" s="33"/>
      <c r="P18" s="33"/>
      <c r="Q18" s="33"/>
      <c r="R18" s="33"/>
      <c r="S18" s="33"/>
      <c r="T18" s="33"/>
      <c r="U18" s="33"/>
      <c r="V18" s="33"/>
      <c r="W18" s="33"/>
      <c r="X18" s="33"/>
      <c r="Y18" s="33"/>
      <c r="Z18" s="33"/>
      <c r="AA18" s="33"/>
    </row>
    <row r="19" spans="1:27" s="1" customFormat="1" x14ac:dyDescent="0.25">
      <c r="A19" s="229" t="s">
        <v>88</v>
      </c>
      <c r="B19" s="222">
        <v>0</v>
      </c>
      <c r="C19" s="232">
        <v>0</v>
      </c>
      <c r="D19" s="232">
        <v>0</v>
      </c>
      <c r="E19" s="224"/>
      <c r="F19" s="223">
        <f t="shared" si="0"/>
        <v>0</v>
      </c>
      <c r="H19" s="4"/>
      <c r="I19" s="4"/>
      <c r="J19" s="4"/>
      <c r="L19" s="33"/>
      <c r="M19" s="33"/>
      <c r="N19" s="33"/>
      <c r="O19" s="33"/>
      <c r="P19" s="33"/>
      <c r="Q19" s="33"/>
      <c r="R19" s="33"/>
      <c r="S19" s="33"/>
      <c r="T19" s="33"/>
      <c r="U19" s="33"/>
      <c r="V19" s="33"/>
      <c r="W19" s="33"/>
      <c r="X19" s="33"/>
      <c r="Y19" s="33"/>
      <c r="Z19" s="33"/>
      <c r="AA19" s="33"/>
    </row>
    <row r="20" spans="1:27" s="1" customFormat="1" x14ac:dyDescent="0.25">
      <c r="A20" s="3"/>
      <c r="B20" s="1" t="s">
        <v>614</v>
      </c>
      <c r="C20" s="1" t="e">
        <f>+C6/(C14+1)</f>
        <v>#DIV/0!</v>
      </c>
      <c r="D20" s="1">
        <f>+D6/(D14+1)</f>
        <v>0</v>
      </c>
      <c r="H20" s="4"/>
      <c r="I20" s="4"/>
      <c r="J20" s="4"/>
      <c r="L20" s="33"/>
      <c r="M20" s="33"/>
      <c r="N20" s="33"/>
      <c r="O20" s="33"/>
      <c r="P20" s="33"/>
      <c r="Q20" s="33"/>
      <c r="R20" s="33"/>
      <c r="S20" s="33"/>
      <c r="T20" s="33"/>
      <c r="U20" s="33"/>
      <c r="V20" s="33"/>
      <c r="W20" s="33"/>
      <c r="X20" s="33"/>
      <c r="Y20" s="33"/>
      <c r="Z20" s="33"/>
      <c r="AA20" s="33"/>
    </row>
    <row r="21" spans="1:27" s="1" customFormat="1" x14ac:dyDescent="0.25">
      <c r="A21" s="37" t="s">
        <v>94</v>
      </c>
      <c r="H21" s="4"/>
      <c r="I21" s="4"/>
      <c r="J21" s="4"/>
      <c r="L21" s="33"/>
      <c r="M21" s="33"/>
      <c r="N21" s="33"/>
      <c r="O21" s="33"/>
      <c r="P21" s="33"/>
      <c r="Q21" s="33"/>
      <c r="R21" s="33"/>
      <c r="S21" s="33"/>
      <c r="T21" s="33"/>
      <c r="U21" s="33"/>
      <c r="V21" s="33"/>
      <c r="W21" s="33"/>
      <c r="X21" s="33"/>
      <c r="Y21" s="33"/>
      <c r="Z21" s="33"/>
      <c r="AA21" s="33"/>
    </row>
    <row r="22" spans="1:27" s="1" customFormat="1" x14ac:dyDescent="0.25">
      <c r="A22" s="228" t="s">
        <v>101</v>
      </c>
      <c r="B22" s="2">
        <v>3</v>
      </c>
      <c r="H22" s="4"/>
      <c r="I22" s="4"/>
      <c r="J22" s="4"/>
      <c r="L22" s="33"/>
      <c r="M22" s="33"/>
      <c r="N22" s="33"/>
      <c r="O22" s="33"/>
      <c r="P22" s="33"/>
      <c r="Q22" s="33"/>
      <c r="R22" s="33"/>
      <c r="S22" s="33"/>
      <c r="T22" s="33"/>
      <c r="U22" s="33"/>
      <c r="V22" s="33"/>
      <c r="W22" s="33"/>
      <c r="X22" s="33"/>
      <c r="Y22" s="33"/>
      <c r="Z22" s="33"/>
      <c r="AA22" s="33"/>
    </row>
    <row r="23" spans="1:27" s="1" customFormat="1" x14ac:dyDescent="0.25">
      <c r="A23" s="228" t="s">
        <v>110</v>
      </c>
      <c r="B23" s="2">
        <v>3</v>
      </c>
      <c r="H23" s="4"/>
      <c r="I23" s="4"/>
      <c r="J23" s="4"/>
      <c r="L23" s="33"/>
      <c r="M23" s="33"/>
      <c r="N23" s="33"/>
      <c r="O23" s="33"/>
      <c r="P23" s="33"/>
      <c r="Q23" s="33"/>
      <c r="R23" s="33"/>
      <c r="S23" s="33"/>
      <c r="T23" s="33"/>
      <c r="U23" s="33"/>
      <c r="V23" s="33"/>
      <c r="W23" s="33"/>
      <c r="X23" s="33"/>
      <c r="Y23" s="33"/>
      <c r="Z23" s="33"/>
      <c r="AA23" s="33"/>
    </row>
    <row r="24" spans="1:27" s="1" customFormat="1" x14ac:dyDescent="0.25">
      <c r="A24" s="228" t="s">
        <v>118</v>
      </c>
      <c r="B24" s="2">
        <v>0</v>
      </c>
      <c r="C24" s="219"/>
      <c r="D24" s="219"/>
      <c r="E24" s="219"/>
      <c r="F24" s="33"/>
      <c r="H24" s="4"/>
      <c r="I24" s="4"/>
      <c r="J24" s="4"/>
      <c r="L24" s="33"/>
      <c r="M24" s="33"/>
      <c r="N24" s="33"/>
      <c r="O24" s="33"/>
      <c r="P24" s="33"/>
      <c r="Q24" s="33"/>
      <c r="R24" s="33"/>
      <c r="S24" s="33"/>
      <c r="T24" s="33"/>
      <c r="U24" s="33"/>
      <c r="V24" s="33"/>
      <c r="W24" s="33"/>
      <c r="X24" s="33"/>
      <c r="Y24" s="33"/>
      <c r="Z24" s="33"/>
      <c r="AA24" s="33"/>
    </row>
    <row r="25" spans="1:27" s="1" customFormat="1" x14ac:dyDescent="0.25">
      <c r="A25" s="228" t="s">
        <v>95</v>
      </c>
      <c r="B25" s="194">
        <v>430.47</v>
      </c>
      <c r="C25" s="222"/>
      <c r="D25" s="222"/>
      <c r="E25" s="222"/>
      <c r="F25" s="223"/>
      <c r="H25" s="4"/>
      <c r="I25" s="4"/>
      <c r="J25" s="4"/>
      <c r="L25" s="33"/>
      <c r="M25" s="33"/>
      <c r="N25" s="33"/>
      <c r="O25" s="33"/>
      <c r="P25" s="33"/>
      <c r="Q25" s="33"/>
      <c r="R25" s="33"/>
      <c r="S25" s="33"/>
      <c r="T25" s="33"/>
      <c r="U25" s="33"/>
      <c r="V25" s="33"/>
      <c r="W25" s="33"/>
      <c r="X25" s="33"/>
      <c r="Y25" s="33"/>
      <c r="Z25" s="33"/>
      <c r="AA25" s="33"/>
    </row>
    <row r="26" spans="1:27" s="1" customFormat="1" x14ac:dyDescent="0.25">
      <c r="A26" s="228" t="s">
        <v>96</v>
      </c>
      <c r="B26" s="194">
        <v>0</v>
      </c>
      <c r="C26" s="222"/>
      <c r="D26" s="222"/>
      <c r="E26" s="222"/>
      <c r="F26" s="223"/>
      <c r="H26" s="4"/>
      <c r="I26" s="4"/>
      <c r="J26" s="4"/>
      <c r="L26" s="33"/>
      <c r="M26" s="33"/>
      <c r="N26" s="33"/>
      <c r="O26" s="33"/>
      <c r="P26" s="33"/>
      <c r="Q26" s="33"/>
      <c r="R26" s="33"/>
      <c r="S26" s="33"/>
      <c r="T26" s="33"/>
      <c r="U26" s="33"/>
      <c r="V26" s="33"/>
      <c r="W26" s="33"/>
      <c r="X26" s="33"/>
      <c r="Y26" s="33"/>
      <c r="Z26" s="33"/>
      <c r="AA26" s="33"/>
    </row>
    <row r="27" spans="1:27" s="1" customFormat="1" x14ac:dyDescent="0.25">
      <c r="A27" s="228" t="s">
        <v>545</v>
      </c>
      <c r="B27" s="194">
        <v>0</v>
      </c>
      <c r="C27" s="222"/>
      <c r="D27" s="222"/>
      <c r="E27" s="222"/>
      <c r="F27" s="223"/>
      <c r="H27" s="4" t="s">
        <v>546</v>
      </c>
      <c r="I27" s="4"/>
      <c r="J27" s="4" t="str">
        <f>+J8</f>
        <v>revisad el listado de cruces en tramos subt</v>
      </c>
      <c r="L27" s="33"/>
      <c r="M27" s="33"/>
      <c r="N27" s="33"/>
      <c r="O27" s="33"/>
      <c r="P27" s="33"/>
      <c r="Q27" s="33"/>
      <c r="R27" s="33"/>
      <c r="S27" s="33"/>
      <c r="T27" s="33"/>
      <c r="U27" s="33"/>
      <c r="V27" s="33"/>
      <c r="W27" s="33"/>
      <c r="X27" s="33"/>
      <c r="Y27" s="33"/>
      <c r="Z27" s="33"/>
      <c r="AA27" s="33"/>
    </row>
    <row r="28" spans="1:27" s="1" customFormat="1" x14ac:dyDescent="0.25">
      <c r="A28" s="228" t="s">
        <v>104</v>
      </c>
      <c r="B28" s="2">
        <f>B25*1.05</f>
        <v>451.99350000000004</v>
      </c>
      <c r="C28" s="2"/>
      <c r="D28" s="2"/>
      <c r="E28" s="2"/>
      <c r="F28" s="223"/>
      <c r="H28" s="4"/>
      <c r="I28" s="4"/>
      <c r="J28" s="4"/>
      <c r="L28" s="33"/>
      <c r="M28" s="33"/>
      <c r="N28" s="33"/>
      <c r="O28" s="33"/>
      <c r="P28" s="33"/>
      <c r="Q28" s="33"/>
      <c r="R28" s="33"/>
      <c r="S28" s="33"/>
      <c r="T28" s="33"/>
      <c r="U28" s="33"/>
      <c r="V28" s="33"/>
      <c r="W28" s="33"/>
      <c r="X28" s="33"/>
      <c r="Y28" s="33"/>
      <c r="Z28" s="33"/>
      <c r="AA28" s="33"/>
    </row>
    <row r="29" spans="1:27" s="1" customFormat="1" x14ac:dyDescent="0.25">
      <c r="A29" s="228" t="s">
        <v>105</v>
      </c>
      <c r="B29" s="2">
        <f>B28*B22+10+10</f>
        <v>1375.9805000000001</v>
      </c>
      <c r="C29" s="2"/>
      <c r="D29" s="2"/>
      <c r="E29" s="2"/>
      <c r="F29" s="223"/>
      <c r="H29" s="4"/>
      <c r="I29" s="4"/>
      <c r="J29" s="4"/>
      <c r="L29" s="33"/>
      <c r="M29" s="33"/>
      <c r="N29" s="33"/>
      <c r="O29" s="33"/>
      <c r="P29" s="33"/>
      <c r="Q29" s="33"/>
      <c r="R29" s="33"/>
      <c r="S29" s="33"/>
      <c r="T29" s="33"/>
      <c r="U29" s="33"/>
      <c r="V29" s="33"/>
      <c r="W29" s="33"/>
      <c r="X29" s="33"/>
      <c r="Y29" s="33"/>
      <c r="Z29" s="33"/>
      <c r="AA29" s="33"/>
    </row>
    <row r="30" spans="1:27" s="218" customFormat="1" x14ac:dyDescent="0.25">
      <c r="A30" s="229" t="s">
        <v>583</v>
      </c>
      <c r="B30" s="224">
        <f>B28*B23+200</f>
        <v>1555.9805000000001</v>
      </c>
      <c r="C30" s="224"/>
      <c r="D30" s="224"/>
      <c r="E30" s="224"/>
      <c r="F30" s="223"/>
      <c r="H30" s="220"/>
      <c r="I30" s="220"/>
      <c r="J30" s="220"/>
      <c r="L30" s="221"/>
      <c r="M30" s="221"/>
      <c r="N30" s="221"/>
      <c r="O30" s="221"/>
      <c r="P30" s="221"/>
      <c r="Q30" s="221"/>
      <c r="R30" s="221"/>
      <c r="S30" s="221"/>
      <c r="T30" s="221"/>
      <c r="U30" s="221"/>
      <c r="V30" s="221"/>
      <c r="W30" s="221"/>
      <c r="X30" s="221"/>
      <c r="Y30" s="221"/>
      <c r="Z30" s="221"/>
      <c r="AA30" s="221"/>
    </row>
    <row r="31" spans="1:27" s="1" customFormat="1" x14ac:dyDescent="0.25">
      <c r="A31" s="228" t="s">
        <v>106</v>
      </c>
      <c r="B31" s="2">
        <v>0</v>
      </c>
      <c r="C31" s="222"/>
      <c r="D31" s="222"/>
      <c r="E31" s="222"/>
      <c r="F31" s="223"/>
      <c r="H31" s="4"/>
      <c r="I31" s="4"/>
      <c r="J31" s="4"/>
      <c r="L31" s="33"/>
      <c r="M31" s="33"/>
      <c r="N31" s="33"/>
      <c r="O31" s="33"/>
      <c r="P31" s="33"/>
      <c r="Q31" s="33"/>
      <c r="R31" s="33"/>
      <c r="S31" s="33"/>
      <c r="T31" s="33"/>
      <c r="U31" s="33"/>
      <c r="V31" s="33"/>
      <c r="W31" s="33"/>
      <c r="X31" s="33"/>
      <c r="Y31" s="33"/>
      <c r="Z31" s="33"/>
      <c r="AA31" s="33"/>
    </row>
    <row r="32" spans="1:27" s="1" customFormat="1" x14ac:dyDescent="0.25">
      <c r="A32" s="228" t="s">
        <v>107</v>
      </c>
      <c r="B32" s="2">
        <v>0</v>
      </c>
      <c r="C32" s="2"/>
      <c r="D32" s="2"/>
      <c r="E32" s="2"/>
      <c r="F32" s="223"/>
      <c r="H32" s="4"/>
      <c r="I32" s="4"/>
      <c r="J32" s="4"/>
      <c r="L32" s="33"/>
      <c r="M32" s="33"/>
      <c r="N32" s="33"/>
      <c r="O32" s="33"/>
      <c r="P32" s="33"/>
      <c r="Q32" s="33"/>
      <c r="R32" s="33"/>
      <c r="S32" s="33"/>
      <c r="T32" s="33"/>
      <c r="U32" s="33"/>
      <c r="V32" s="33"/>
      <c r="W32" s="33"/>
      <c r="X32" s="33"/>
      <c r="Y32" s="33"/>
      <c r="Z32" s="33"/>
      <c r="AA32" s="33"/>
    </row>
    <row r="33" spans="1:27" s="1" customFormat="1" x14ac:dyDescent="0.25">
      <c r="A33" s="228" t="s">
        <v>581</v>
      </c>
      <c r="B33" s="194">
        <v>1</v>
      </c>
      <c r="C33" s="222"/>
      <c r="D33" s="222"/>
      <c r="E33" s="222"/>
      <c r="F33" s="223"/>
      <c r="H33" s="4"/>
      <c r="I33" s="4"/>
      <c r="J33" s="4"/>
      <c r="L33" s="33"/>
      <c r="M33" s="33"/>
      <c r="N33" s="33"/>
      <c r="O33" s="33"/>
      <c r="P33" s="33"/>
      <c r="Q33" s="33"/>
      <c r="R33" s="33"/>
      <c r="S33" s="33"/>
      <c r="T33" s="33"/>
      <c r="U33" s="33"/>
      <c r="V33" s="33"/>
      <c r="W33" s="33"/>
      <c r="X33" s="33"/>
      <c r="Y33" s="33"/>
      <c r="Z33" s="33"/>
      <c r="AA33" s="33"/>
    </row>
    <row r="34" spans="1:27" s="1" customFormat="1" x14ac:dyDescent="0.25">
      <c r="A34" s="228" t="s">
        <v>97</v>
      </c>
      <c r="B34" s="2">
        <v>6</v>
      </c>
      <c r="C34" s="2"/>
      <c r="D34" s="2"/>
      <c r="E34" s="2"/>
      <c r="F34" s="223"/>
      <c r="H34" s="4"/>
      <c r="I34" s="4"/>
      <c r="J34" s="4"/>
      <c r="L34" s="33"/>
      <c r="M34" s="33"/>
      <c r="N34" s="33"/>
      <c r="O34" s="33"/>
      <c r="P34" s="33"/>
      <c r="Q34" s="33"/>
      <c r="R34" s="33"/>
      <c r="S34" s="33"/>
      <c r="T34" s="33"/>
      <c r="U34" s="33"/>
      <c r="V34" s="33"/>
      <c r="W34" s="33"/>
      <c r="X34" s="33"/>
      <c r="Y34" s="33"/>
      <c r="Z34" s="33"/>
      <c r="AA34" s="33"/>
    </row>
    <row r="35" spans="1:27" s="1" customFormat="1" x14ac:dyDescent="0.25">
      <c r="A35" s="228" t="s">
        <v>89</v>
      </c>
      <c r="B35" s="2">
        <v>3</v>
      </c>
      <c r="C35" s="2" t="s">
        <v>633</v>
      </c>
      <c r="D35" s="2"/>
      <c r="E35" s="2"/>
      <c r="F35" s="223"/>
      <c r="H35" s="4"/>
      <c r="I35" s="4"/>
      <c r="J35" s="4"/>
      <c r="L35" s="33"/>
      <c r="M35" s="33"/>
      <c r="N35" s="33"/>
      <c r="O35" s="33"/>
      <c r="P35" s="33"/>
      <c r="Q35" s="33"/>
      <c r="R35" s="33"/>
      <c r="S35" s="33"/>
      <c r="T35" s="33"/>
      <c r="U35" s="33"/>
      <c r="V35" s="33"/>
      <c r="W35" s="33"/>
      <c r="X35" s="33"/>
      <c r="Y35" s="33"/>
      <c r="Z35" s="33"/>
      <c r="AA35" s="33"/>
    </row>
    <row r="36" spans="1:27" s="1" customFormat="1" x14ac:dyDescent="0.25">
      <c r="A36" s="228" t="s">
        <v>98</v>
      </c>
      <c r="B36" s="194"/>
      <c r="C36" s="194"/>
      <c r="D36" s="194"/>
      <c r="E36" s="194"/>
      <c r="F36" s="223"/>
      <c r="H36" s="4"/>
      <c r="I36" s="4"/>
      <c r="J36" s="4"/>
      <c r="L36" s="33"/>
      <c r="M36" s="33"/>
      <c r="N36" s="33"/>
      <c r="O36" s="33"/>
      <c r="P36" s="33"/>
      <c r="Q36" s="33"/>
      <c r="R36" s="33"/>
      <c r="S36" s="33"/>
      <c r="T36" s="33"/>
      <c r="U36" s="33"/>
      <c r="V36" s="33"/>
      <c r="W36" s="33"/>
      <c r="X36" s="33"/>
      <c r="Y36" s="33"/>
      <c r="Z36" s="33"/>
      <c r="AA36" s="33"/>
    </row>
    <row r="37" spans="1:27" s="1" customFormat="1" x14ac:dyDescent="0.25">
      <c r="A37" s="228" t="s">
        <v>99</v>
      </c>
      <c r="B37" s="2"/>
      <c r="C37" s="2"/>
      <c r="D37" s="2"/>
      <c r="E37" s="2"/>
      <c r="F37" s="223"/>
      <c r="H37" s="4"/>
      <c r="I37" s="4"/>
      <c r="J37" s="4"/>
      <c r="L37" s="33"/>
      <c r="M37" s="33"/>
      <c r="N37" s="33"/>
      <c r="O37" s="33"/>
      <c r="P37" s="33"/>
      <c r="Q37" s="33"/>
      <c r="R37" s="33"/>
      <c r="S37" s="33"/>
      <c r="T37" s="33"/>
      <c r="U37" s="33"/>
      <c r="V37" s="33"/>
      <c r="W37" s="33"/>
      <c r="X37" s="33"/>
      <c r="Y37" s="33"/>
      <c r="Z37" s="33"/>
      <c r="AA37" s="33"/>
    </row>
    <row r="38" spans="1:27" s="1" customFormat="1" x14ac:dyDescent="0.25">
      <c r="A38" s="3"/>
      <c r="H38" s="4"/>
      <c r="I38" s="4"/>
      <c r="J38" s="4"/>
      <c r="L38" s="33"/>
      <c r="M38" s="33"/>
      <c r="N38" s="33"/>
      <c r="O38" s="33"/>
      <c r="P38" s="33"/>
      <c r="Q38" s="33"/>
      <c r="R38" s="33"/>
      <c r="S38" s="33"/>
      <c r="T38" s="33"/>
      <c r="U38" s="33"/>
      <c r="V38" s="33"/>
      <c r="W38" s="33"/>
      <c r="X38" s="33"/>
      <c r="Y38" s="33"/>
      <c r="Z38" s="33"/>
      <c r="AA38" s="33"/>
    </row>
    <row r="39" spans="1:27" s="1" customFormat="1" x14ac:dyDescent="0.25">
      <c r="A39" s="3"/>
      <c r="H39" s="4"/>
      <c r="I39" s="4"/>
      <c r="J39" s="4"/>
      <c r="L39" s="33"/>
      <c r="M39" s="33"/>
      <c r="N39" s="33"/>
      <c r="O39" s="33"/>
      <c r="P39" s="33"/>
      <c r="Q39" s="33"/>
      <c r="R39" s="33"/>
      <c r="S39" s="33"/>
      <c r="T39" s="33"/>
      <c r="U39" s="33"/>
      <c r="V39" s="33"/>
      <c r="W39" s="33"/>
      <c r="X39" s="33"/>
      <c r="Y39" s="33"/>
      <c r="Z39" s="33"/>
      <c r="AA39" s="33"/>
    </row>
  </sheetData>
  <conditionalFormatting sqref="F5:F19">
    <cfRule type="cellIs" dxfId="48" priority="1" operator="notEqual">
      <formula>0</formula>
    </cfRule>
  </conditionalFormatting>
  <conditionalFormatting sqref="F25:F37">
    <cfRule type="cellIs" dxfId="47" priority="2" operator="notEqual">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AC6B8-92BB-427C-B7FD-097A4844A1E4}">
  <sheetPr>
    <tabColor rgb="FF92D050"/>
  </sheetPr>
  <dimension ref="A1:R14"/>
  <sheetViews>
    <sheetView workbookViewId="0">
      <selection activeCell="A6" sqref="A6:E6"/>
    </sheetView>
  </sheetViews>
  <sheetFormatPr baseColWidth="10" defaultRowHeight="15" x14ac:dyDescent="0.25"/>
  <cols>
    <col min="2" max="2" width="23.42578125" bestFit="1" customWidth="1"/>
    <col min="3" max="3" width="25.85546875" bestFit="1" customWidth="1"/>
    <col min="4" max="4" width="28.5703125" customWidth="1"/>
    <col min="5" max="5" width="13.7109375" bestFit="1" customWidth="1"/>
    <col min="12" max="12" width="23.42578125" bestFit="1" customWidth="1"/>
    <col min="13" max="13" width="25.85546875" bestFit="1" customWidth="1"/>
    <col min="14" max="14" width="12.140625" bestFit="1" customWidth="1"/>
    <col min="15" max="16" width="13.7109375" bestFit="1" customWidth="1"/>
  </cols>
  <sheetData>
    <row r="1" spans="1:18" ht="23.25" thickBot="1" x14ac:dyDescent="0.3">
      <c r="A1" s="380" t="s">
        <v>653</v>
      </c>
      <c r="B1" s="380" t="s">
        <v>654</v>
      </c>
      <c r="C1" s="380" t="s">
        <v>655</v>
      </c>
      <c r="D1" s="380" t="s">
        <v>477</v>
      </c>
      <c r="E1" s="380" t="s">
        <v>478</v>
      </c>
      <c r="F1" s="380" t="s">
        <v>479</v>
      </c>
      <c r="G1" s="380" t="s">
        <v>480</v>
      </c>
      <c r="K1" s="375" t="s">
        <v>658</v>
      </c>
      <c r="L1" s="376" t="s">
        <v>654</v>
      </c>
      <c r="M1" s="376" t="s">
        <v>655</v>
      </c>
      <c r="N1" s="376" t="s">
        <v>661</v>
      </c>
      <c r="O1" s="376" t="s">
        <v>659</v>
      </c>
      <c r="P1" s="376" t="s">
        <v>660</v>
      </c>
      <c r="Q1" s="376" t="s">
        <v>479</v>
      </c>
      <c r="R1" s="376" t="s">
        <v>480</v>
      </c>
    </row>
    <row r="2" spans="1:18" x14ac:dyDescent="0.25">
      <c r="A2" s="381" t="s">
        <v>656</v>
      </c>
      <c r="B2" s="381" t="s">
        <v>665</v>
      </c>
      <c r="C2" s="381"/>
      <c r="D2" s="180">
        <v>474305.25180000003</v>
      </c>
      <c r="E2" s="180">
        <v>4388413.4282</v>
      </c>
      <c r="F2" s="381" t="s">
        <v>676</v>
      </c>
      <c r="G2" s="381" t="s">
        <v>677</v>
      </c>
      <c r="K2" s="379" t="s">
        <v>657</v>
      </c>
      <c r="L2" s="379" t="s">
        <v>665</v>
      </c>
      <c r="N2" t="s">
        <v>662</v>
      </c>
      <c r="O2" s="377">
        <v>474433.60969999997</v>
      </c>
      <c r="P2" s="377">
        <v>4388142.7033000002</v>
      </c>
      <c r="Q2" s="381" t="s">
        <v>676</v>
      </c>
      <c r="R2" s="381" t="s">
        <v>677</v>
      </c>
    </row>
    <row r="3" spans="1:18" x14ac:dyDescent="0.25">
      <c r="A3" s="381" t="s">
        <v>663</v>
      </c>
      <c r="B3" s="381" t="s">
        <v>664</v>
      </c>
      <c r="C3" s="381"/>
      <c r="D3" s="180">
        <v>474148.20909999998</v>
      </c>
      <c r="E3" s="180">
        <v>4388651.1626000004</v>
      </c>
      <c r="F3" s="381" t="s">
        <v>676</v>
      </c>
      <c r="G3" s="381" t="s">
        <v>677</v>
      </c>
      <c r="K3" s="386"/>
      <c r="L3" s="378"/>
      <c r="N3" t="s">
        <v>656</v>
      </c>
      <c r="O3" s="377">
        <v>474305.25180000003</v>
      </c>
      <c r="P3" s="377">
        <v>4388413.4282</v>
      </c>
      <c r="Q3" s="381" t="s">
        <v>676</v>
      </c>
      <c r="R3" s="381" t="s">
        <v>677</v>
      </c>
    </row>
    <row r="4" spans="1:18" x14ac:dyDescent="0.25">
      <c r="A4" s="381" t="s">
        <v>669</v>
      </c>
      <c r="B4" s="381" t="s">
        <v>667</v>
      </c>
      <c r="C4" s="381"/>
      <c r="D4" s="180">
        <v>473383.90860000002</v>
      </c>
      <c r="E4" s="180">
        <v>4388959.9645999996</v>
      </c>
      <c r="F4" s="381" t="s">
        <v>666</v>
      </c>
      <c r="G4" s="381" t="s">
        <v>677</v>
      </c>
      <c r="K4" s="378" t="s">
        <v>683</v>
      </c>
      <c r="L4" s="387" t="s">
        <v>687</v>
      </c>
      <c r="M4" s="378" t="s">
        <v>684</v>
      </c>
      <c r="N4" t="s">
        <v>662</v>
      </c>
      <c r="O4" s="377">
        <v>474433.60969999997</v>
      </c>
      <c r="P4" s="377">
        <v>4388142.7033000002</v>
      </c>
      <c r="Q4" s="381" t="s">
        <v>676</v>
      </c>
      <c r="R4" s="381" t="s">
        <v>677</v>
      </c>
    </row>
    <row r="5" spans="1:18" x14ac:dyDescent="0.25">
      <c r="A5" s="381" t="s">
        <v>670</v>
      </c>
      <c r="B5" s="381" t="s">
        <v>667</v>
      </c>
      <c r="C5" s="381"/>
      <c r="D5" s="180">
        <v>473355.32260000001</v>
      </c>
      <c r="E5" s="180">
        <v>4388988.5196000002</v>
      </c>
      <c r="F5" s="381" t="s">
        <v>666</v>
      </c>
      <c r="G5" s="381" t="s">
        <v>677</v>
      </c>
      <c r="K5" s="378"/>
      <c r="L5" s="378"/>
      <c r="M5" s="378"/>
      <c r="N5" t="s">
        <v>685</v>
      </c>
      <c r="O5" s="377">
        <v>473253.85989999998</v>
      </c>
      <c r="P5" s="377">
        <v>4389071.5275999997</v>
      </c>
      <c r="Q5" s="381" t="s">
        <v>666</v>
      </c>
      <c r="R5" s="381" t="s">
        <v>677</v>
      </c>
    </row>
    <row r="6" spans="1:18" x14ac:dyDescent="0.25">
      <c r="A6" s="381" t="s">
        <v>671</v>
      </c>
      <c r="B6" s="381" t="s">
        <v>682</v>
      </c>
      <c r="C6" s="381" t="s">
        <v>681</v>
      </c>
      <c r="D6" s="180">
        <v>473320.58169999998</v>
      </c>
      <c r="E6" s="180">
        <v>4389023.2163000004</v>
      </c>
      <c r="F6" s="381" t="s">
        <v>666</v>
      </c>
      <c r="G6" s="381" t="s">
        <v>677</v>
      </c>
      <c r="K6" s="378" t="s">
        <v>686</v>
      </c>
      <c r="L6" s="387" t="s">
        <v>688</v>
      </c>
      <c r="M6" s="378" t="s">
        <v>684</v>
      </c>
      <c r="N6" t="s">
        <v>685</v>
      </c>
      <c r="O6" s="377">
        <v>473253.85989999998</v>
      </c>
      <c r="P6" s="377">
        <v>4389071.5275999997</v>
      </c>
      <c r="Q6" s="381" t="s">
        <v>666</v>
      </c>
      <c r="R6" s="381" t="s">
        <v>677</v>
      </c>
    </row>
    <row r="7" spans="1:18" x14ac:dyDescent="0.25">
      <c r="A7" s="381" t="s">
        <v>672</v>
      </c>
      <c r="B7" s="381" t="s">
        <v>682</v>
      </c>
      <c r="C7" s="381"/>
      <c r="D7" s="180">
        <v>473200.94689999998</v>
      </c>
      <c r="E7" s="180">
        <v>4389018.8585999999</v>
      </c>
      <c r="F7" s="381" t="s">
        <v>666</v>
      </c>
      <c r="G7" s="381" t="s">
        <v>677</v>
      </c>
      <c r="K7" s="378"/>
      <c r="L7" s="378"/>
      <c r="M7" s="378"/>
      <c r="O7" s="377"/>
      <c r="P7" s="377"/>
      <c r="Q7" s="381" t="s">
        <v>666</v>
      </c>
      <c r="R7" s="381" t="s">
        <v>677</v>
      </c>
    </row>
    <row r="8" spans="1:18" x14ac:dyDescent="0.25">
      <c r="A8" s="381"/>
      <c r="B8" s="381"/>
      <c r="C8" s="381"/>
      <c r="D8" s="382"/>
      <c r="E8" s="382"/>
      <c r="F8" s="381"/>
      <c r="G8" s="381"/>
      <c r="O8" s="377"/>
      <c r="P8" s="377"/>
      <c r="Q8" s="381"/>
      <c r="R8" s="381"/>
    </row>
    <row r="9" spans="1:18" x14ac:dyDescent="0.25">
      <c r="A9" s="381"/>
      <c r="B9" s="381"/>
      <c r="C9" s="381"/>
      <c r="D9" s="382"/>
      <c r="E9" s="382"/>
      <c r="F9" s="381"/>
      <c r="G9" s="381"/>
      <c r="O9" s="377"/>
      <c r="P9" s="377"/>
    </row>
    <row r="10" spans="1:18" x14ac:dyDescent="0.25">
      <c r="A10" s="381"/>
      <c r="B10" s="381"/>
      <c r="C10" s="381"/>
      <c r="D10" s="382"/>
      <c r="E10" s="382"/>
      <c r="F10" s="381"/>
      <c r="G10" s="381"/>
      <c r="O10" s="377"/>
      <c r="P10" s="377"/>
    </row>
    <row r="11" spans="1:18" x14ac:dyDescent="0.25">
      <c r="A11" s="381" t="s">
        <v>673</v>
      </c>
      <c r="B11" s="381" t="s">
        <v>674</v>
      </c>
      <c r="C11" t="s">
        <v>684</v>
      </c>
      <c r="D11" s="382">
        <v>472878.57870000001</v>
      </c>
      <c r="E11" s="382">
        <v>4388794.6946</v>
      </c>
      <c r="F11" s="381" t="s">
        <v>666</v>
      </c>
      <c r="G11" s="381" t="s">
        <v>677</v>
      </c>
      <c r="K11" s="378" t="s">
        <v>689</v>
      </c>
      <c r="L11" s="387" t="s">
        <v>688</v>
      </c>
      <c r="M11" s="378" t="s">
        <v>684</v>
      </c>
      <c r="O11" s="377"/>
      <c r="P11" s="377"/>
      <c r="Q11" s="381" t="s">
        <v>666</v>
      </c>
      <c r="R11" s="381" t="s">
        <v>677</v>
      </c>
    </row>
    <row r="12" spans="1:18" x14ac:dyDescent="0.25">
      <c r="A12" s="381" t="s">
        <v>678</v>
      </c>
      <c r="B12" s="383" t="s">
        <v>675</v>
      </c>
      <c r="C12" s="383"/>
      <c r="D12" s="384">
        <v>472846.7058</v>
      </c>
      <c r="E12" s="384">
        <v>4388794.9173999997</v>
      </c>
      <c r="F12" s="383" t="s">
        <v>666</v>
      </c>
      <c r="G12" s="383" t="s">
        <v>677</v>
      </c>
      <c r="K12" s="378"/>
      <c r="L12" s="378"/>
      <c r="M12" s="378"/>
      <c r="N12" t="s">
        <v>690</v>
      </c>
      <c r="O12" s="377">
        <v>472863.0086</v>
      </c>
      <c r="P12" s="377">
        <v>4388784.0557000004</v>
      </c>
      <c r="Q12" s="381" t="s">
        <v>666</v>
      </c>
      <c r="R12" s="381" t="s">
        <v>677</v>
      </c>
    </row>
    <row r="13" spans="1:18" s="385" customFormat="1" x14ac:dyDescent="0.25">
      <c r="A13" s="381" t="s">
        <v>679</v>
      </c>
      <c r="B13" s="381" t="s">
        <v>674</v>
      </c>
      <c r="C13" t="s">
        <v>684</v>
      </c>
      <c r="D13" s="382">
        <v>472834.84869999997</v>
      </c>
      <c r="E13" s="382">
        <v>4388806.9740000004</v>
      </c>
      <c r="F13" s="381" t="s">
        <v>666</v>
      </c>
      <c r="G13" s="381" t="s">
        <v>677</v>
      </c>
    </row>
    <row r="14" spans="1:18" x14ac:dyDescent="0.25">
      <c r="A14" s="381" t="s">
        <v>680</v>
      </c>
      <c r="B14" s="381" t="s">
        <v>668</v>
      </c>
      <c r="C14" s="381"/>
      <c r="D14" s="382">
        <v>472734.25050000002</v>
      </c>
      <c r="E14" s="382">
        <v>4388909.2648</v>
      </c>
      <c r="F14" s="381" t="s">
        <v>666</v>
      </c>
      <c r="G14" s="381" t="s">
        <v>677</v>
      </c>
    </row>
  </sheetData>
  <mergeCells count="11">
    <mergeCell ref="K11:K12"/>
    <mergeCell ref="L11:L12"/>
    <mergeCell ref="M11:M12"/>
    <mergeCell ref="K2:K3"/>
    <mergeCell ref="L2:L3"/>
    <mergeCell ref="K4:K5"/>
    <mergeCell ref="L4:L5"/>
    <mergeCell ref="M4:M5"/>
    <mergeCell ref="K6:K7"/>
    <mergeCell ref="L6:L7"/>
    <mergeCell ref="M6:M7"/>
  </mergeCells>
  <phoneticPr fontId="1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979DA-64AF-4BA7-802C-C7F610328316}">
  <sheetPr>
    <tabColor rgb="FF92D050"/>
  </sheetPr>
  <dimension ref="A1:O180"/>
  <sheetViews>
    <sheetView showGridLines="0" topLeftCell="A20" zoomScaleNormal="100" workbookViewId="0">
      <selection activeCell="K8" sqref="K8"/>
    </sheetView>
  </sheetViews>
  <sheetFormatPr baseColWidth="10" defaultColWidth="24.140625" defaultRowHeight="15" x14ac:dyDescent="0.25"/>
  <cols>
    <col min="1" max="1" width="6.5703125" style="237" bestFit="1" customWidth="1"/>
    <col min="2" max="2" width="48" style="238" bestFit="1" customWidth="1"/>
    <col min="3" max="3" width="13.140625" style="237" bestFit="1" customWidth="1"/>
    <col min="4" max="4" width="10.28515625" style="237" bestFit="1" customWidth="1"/>
    <col min="5" max="5" width="11.28515625" style="239" bestFit="1" customWidth="1"/>
    <col min="6" max="6" width="11.7109375" style="239" bestFit="1" customWidth="1"/>
    <col min="7" max="7" width="26.85546875" style="237" bestFit="1" customWidth="1"/>
    <col min="8" max="8" width="11.7109375" style="241" bestFit="1" customWidth="1"/>
    <col min="9" max="9" width="17.85546875" style="241" bestFit="1" customWidth="1"/>
    <col min="10" max="10" width="11.7109375" style="241" bestFit="1" customWidth="1"/>
    <col min="11" max="11" width="29.7109375" style="241" customWidth="1"/>
    <col min="12" max="12" width="11.7109375" style="241" bestFit="1" customWidth="1"/>
    <col min="13" max="15" width="24.140625" style="241"/>
    <col min="16" max="16384" width="24.140625" style="237"/>
  </cols>
  <sheetData>
    <row r="1" spans="1:12" ht="63.75" x14ac:dyDescent="0.25">
      <c r="H1" s="240" t="str">
        <f>+'1.- datos aéreo'!K37</f>
        <v xml:space="preserve"> LONGITUD EN EL TTMM DE ARRATZUA - UBARRUNDIA (Álava)</v>
      </c>
      <c r="I1" s="240" t="str">
        <f>+'1.- datos aéreo'!L37</f>
        <v xml:space="preserve"> LONGITUD EN EL TTMM DE  ZIGOITIA (Álava)</v>
      </c>
      <c r="J1" s="240">
        <f>+'1.- datos aéreo'!M37</f>
        <v>0</v>
      </c>
    </row>
    <row r="2" spans="1:12" x14ac:dyDescent="0.25">
      <c r="A2" s="300" t="s">
        <v>233</v>
      </c>
      <c r="B2" s="300"/>
      <c r="C2" s="300"/>
      <c r="D2" s="300"/>
      <c r="E2" s="300"/>
      <c r="F2" s="300"/>
      <c r="H2" s="241" t="s">
        <v>564</v>
      </c>
      <c r="I2" s="241" t="s">
        <v>565</v>
      </c>
      <c r="J2" s="241" t="s">
        <v>566</v>
      </c>
    </row>
    <row r="3" spans="1:12" x14ac:dyDescent="0.25">
      <c r="A3" s="300" t="s">
        <v>232</v>
      </c>
      <c r="B3" s="300"/>
      <c r="C3" s="300"/>
      <c r="D3" s="300"/>
      <c r="E3" s="300"/>
      <c r="F3" s="300"/>
      <c r="H3" s="240">
        <f>+'1.- datos aéreo'!K42</f>
        <v>0</v>
      </c>
      <c r="I3" s="240" t="e">
        <f>+'1.- datos aéreo'!L42</f>
        <v>#REF!</v>
      </c>
      <c r="J3" s="240">
        <f>+'1.- datos aéreo'!M42</f>
        <v>0</v>
      </c>
      <c r="K3" s="241" t="e">
        <f>SUM(H3:J3)</f>
        <v>#REF!</v>
      </c>
      <c r="L3" s="241" t="s">
        <v>567</v>
      </c>
    </row>
    <row r="4" spans="1:12" x14ac:dyDescent="0.25">
      <c r="A4" s="242" t="s">
        <v>124</v>
      </c>
      <c r="B4" s="242" t="s">
        <v>0</v>
      </c>
      <c r="C4" s="36" t="s">
        <v>1</v>
      </c>
      <c r="D4" s="36" t="s">
        <v>2</v>
      </c>
      <c r="E4" s="36" t="s">
        <v>74</v>
      </c>
      <c r="F4" s="36" t="s">
        <v>3</v>
      </c>
      <c r="H4" s="274" t="e">
        <f>+H3/$K$3</f>
        <v>#REF!</v>
      </c>
      <c r="I4" s="274" t="e">
        <f>+I3/$K$3</f>
        <v>#REF!</v>
      </c>
      <c r="J4" s="274" t="e">
        <f>+J3/$K$3</f>
        <v>#REF!</v>
      </c>
      <c r="K4" s="243" t="e">
        <f>SUM(H4:J4)</f>
        <v>#REF!</v>
      </c>
      <c r="L4" s="241" t="s">
        <v>568</v>
      </c>
    </row>
    <row r="5" spans="1:12" x14ac:dyDescent="0.25">
      <c r="A5" s="200" t="s">
        <v>125</v>
      </c>
      <c r="B5" s="200" t="s">
        <v>618</v>
      </c>
      <c r="C5" s="244" t="s">
        <v>5</v>
      </c>
      <c r="D5" s="245">
        <f>+'2.- datos subt'!B11</f>
        <v>13185.99</v>
      </c>
      <c r="E5" s="245">
        <v>4</v>
      </c>
      <c r="F5" s="245">
        <f t="shared" ref="F5:F23" si="0">D5*E5</f>
        <v>52743.96</v>
      </c>
      <c r="G5" s="246">
        <f>+D5-SUM(H5:J5)</f>
        <v>13185.99</v>
      </c>
      <c r="H5" s="247">
        <f>+'2.- datos subt'!C11</f>
        <v>0</v>
      </c>
      <c r="I5" s="247">
        <f>+'2.- datos subt'!D11</f>
        <v>0</v>
      </c>
      <c r="J5" s="247">
        <f>+'2.- datos subt'!E11</f>
        <v>0</v>
      </c>
    </row>
    <row r="6" spans="1:12" x14ac:dyDescent="0.25">
      <c r="A6" s="200" t="s">
        <v>125</v>
      </c>
      <c r="B6" s="200" t="s">
        <v>623</v>
      </c>
      <c r="C6" s="244" t="s">
        <v>5</v>
      </c>
      <c r="D6" s="245">
        <f>+'2.- datos subt'!B12</f>
        <v>13185.99</v>
      </c>
      <c r="E6" s="245">
        <v>6.5</v>
      </c>
      <c r="F6" s="245">
        <f t="shared" ref="F6" si="1">D6*E6</f>
        <v>85708.934999999998</v>
      </c>
      <c r="G6" s="246">
        <f>+D6-SUM(H6:J6)</f>
        <v>13185.99</v>
      </c>
      <c r="H6" s="247">
        <f>+'2.- datos subt'!C13</f>
        <v>0</v>
      </c>
      <c r="I6" s="247">
        <f>+'2.- datos subt'!D13</f>
        <v>0</v>
      </c>
      <c r="J6" s="247">
        <f>+'2.- datos subt'!E13</f>
        <v>0</v>
      </c>
    </row>
    <row r="7" spans="1:12" x14ac:dyDescent="0.25">
      <c r="A7" s="200" t="s">
        <v>126</v>
      </c>
      <c r="B7" s="200" t="s">
        <v>120</v>
      </c>
      <c r="C7" s="244" t="s">
        <v>5</v>
      </c>
      <c r="D7" s="245">
        <f>+'2.- datos subt'!B28</f>
        <v>451.99350000000004</v>
      </c>
      <c r="E7" s="245">
        <v>120</v>
      </c>
      <c r="F7" s="245">
        <f t="shared" si="0"/>
        <v>54239.22</v>
      </c>
      <c r="G7" s="246">
        <f t="shared" ref="G7:G23" si="2">+D7-SUM(H7:J7)</f>
        <v>451.99350000000004</v>
      </c>
      <c r="H7" s="247">
        <v>0</v>
      </c>
      <c r="I7" s="247">
        <v>0</v>
      </c>
      <c r="J7" s="247">
        <v>0</v>
      </c>
    </row>
    <row r="8" spans="1:12" ht="25.5" x14ac:dyDescent="0.25">
      <c r="A8" s="200" t="s">
        <v>127</v>
      </c>
      <c r="B8" s="200" t="s">
        <v>629</v>
      </c>
      <c r="C8" s="244" t="s">
        <v>6</v>
      </c>
      <c r="D8" s="245">
        <f>+'2.- datos subt'!B17</f>
        <v>6</v>
      </c>
      <c r="E8" s="245">
        <f>ROUNDUP(160*240/630,0)</f>
        <v>61</v>
      </c>
      <c r="F8" s="245">
        <f t="shared" ref="F8" si="3">D8*E8</f>
        <v>366</v>
      </c>
      <c r="G8" s="246">
        <f>+D8-SUM(H8:J8)</f>
        <v>5</v>
      </c>
      <c r="H8" s="247">
        <f>+'2.- datos subt'!C16</f>
        <v>1</v>
      </c>
      <c r="I8" s="247">
        <f>+'2.- datos subt'!D16</f>
        <v>0</v>
      </c>
      <c r="J8" s="247">
        <f>+'2.- datos subt'!E16</f>
        <v>0</v>
      </c>
      <c r="K8" s="241">
        <f>2.3*1.05*6</f>
        <v>14.49</v>
      </c>
    </row>
    <row r="9" spans="1:12" x14ac:dyDescent="0.25">
      <c r="A9" s="200" t="s">
        <v>127</v>
      </c>
      <c r="B9" s="200" t="s">
        <v>630</v>
      </c>
      <c r="C9" s="244" t="s">
        <v>6</v>
      </c>
      <c r="D9" s="245">
        <f>+'2.- datos subt'!B18</f>
        <v>6</v>
      </c>
      <c r="E9" s="245">
        <v>160</v>
      </c>
      <c r="F9" s="245">
        <f t="shared" si="0"/>
        <v>960</v>
      </c>
      <c r="G9" s="246">
        <f>+D9-SUM(H9:J9)</f>
        <v>-3</v>
      </c>
      <c r="H9" s="247">
        <f>+'2.- datos subt'!C18</f>
        <v>9</v>
      </c>
      <c r="I9" s="247">
        <f>+'2.- datos subt'!D18</f>
        <v>0</v>
      </c>
      <c r="J9" s="247">
        <f>+'2.- datos subt'!E18</f>
        <v>0</v>
      </c>
    </row>
    <row r="10" spans="1:12" x14ac:dyDescent="0.25">
      <c r="A10" s="200" t="s">
        <v>128</v>
      </c>
      <c r="B10" s="200" t="s">
        <v>122</v>
      </c>
      <c r="C10" s="244" t="s">
        <v>6</v>
      </c>
      <c r="D10" s="245">
        <f>+'2.- datos subt'!B34</f>
        <v>6</v>
      </c>
      <c r="E10" s="245">
        <v>7000</v>
      </c>
      <c r="F10" s="245">
        <f t="shared" si="0"/>
        <v>42000</v>
      </c>
      <c r="G10" s="246">
        <f t="shared" si="2"/>
        <v>6</v>
      </c>
      <c r="H10" s="247">
        <v>0</v>
      </c>
      <c r="I10" s="247">
        <v>0</v>
      </c>
      <c r="J10" s="247">
        <v>0</v>
      </c>
    </row>
    <row r="11" spans="1:12" x14ac:dyDescent="0.25">
      <c r="A11" s="200" t="s">
        <v>129</v>
      </c>
      <c r="B11" s="200" t="s">
        <v>123</v>
      </c>
      <c r="C11" s="244" t="s">
        <v>6</v>
      </c>
      <c r="D11" s="245">
        <f>+'2.- datos subt'!B37</f>
        <v>0</v>
      </c>
      <c r="E11" s="245">
        <v>3300</v>
      </c>
      <c r="F11" s="245">
        <f t="shared" si="0"/>
        <v>0</v>
      </c>
      <c r="G11" s="246">
        <f t="shared" si="2"/>
        <v>0</v>
      </c>
      <c r="H11" s="247">
        <v>0</v>
      </c>
      <c r="I11" s="247">
        <v>0</v>
      </c>
      <c r="J11" s="247">
        <v>0</v>
      </c>
    </row>
    <row r="12" spans="1:12" x14ac:dyDescent="0.25">
      <c r="A12" s="200" t="s">
        <v>130</v>
      </c>
      <c r="B12" s="200" t="s">
        <v>111</v>
      </c>
      <c r="C12" s="244" t="s">
        <v>6</v>
      </c>
      <c r="D12" s="245">
        <f>+'2.- datos subt'!B14</f>
        <v>0</v>
      </c>
      <c r="E12" s="245">
        <v>300</v>
      </c>
      <c r="F12" s="245">
        <f t="shared" si="0"/>
        <v>0</v>
      </c>
      <c r="G12" s="246">
        <f t="shared" si="2"/>
        <v>1</v>
      </c>
      <c r="H12" s="247">
        <f>+'2.- datos subt'!C14</f>
        <v>-1</v>
      </c>
      <c r="I12" s="247">
        <f>+'2.- datos subt'!D14</f>
        <v>0</v>
      </c>
      <c r="J12" s="247">
        <f>+'2.- datos subt'!E14</f>
        <v>0</v>
      </c>
    </row>
    <row r="13" spans="1:12" x14ac:dyDescent="0.25">
      <c r="A13" s="200" t="s">
        <v>131</v>
      </c>
      <c r="B13" s="200" t="s">
        <v>112</v>
      </c>
      <c r="C13" s="244" t="s">
        <v>6</v>
      </c>
      <c r="D13" s="245">
        <f>+'2.- datos subt'!B31</f>
        <v>0</v>
      </c>
      <c r="E13" s="245">
        <v>950</v>
      </c>
      <c r="F13" s="245">
        <f t="shared" si="0"/>
        <v>0</v>
      </c>
      <c r="G13" s="246">
        <f t="shared" si="2"/>
        <v>0</v>
      </c>
      <c r="H13" s="247">
        <v>0</v>
      </c>
      <c r="I13" s="247">
        <v>0</v>
      </c>
      <c r="J13" s="247">
        <v>0</v>
      </c>
    </row>
    <row r="14" spans="1:12" x14ac:dyDescent="0.25">
      <c r="A14" s="200" t="s">
        <v>132</v>
      </c>
      <c r="B14" s="200" t="s">
        <v>113</v>
      </c>
      <c r="C14" s="244" t="s">
        <v>6</v>
      </c>
      <c r="D14" s="245">
        <f>+'2.- datos subt'!B15</f>
        <v>0</v>
      </c>
      <c r="E14" s="245">
        <v>180</v>
      </c>
      <c r="F14" s="245">
        <f t="shared" si="0"/>
        <v>0</v>
      </c>
      <c r="G14" s="246">
        <f t="shared" si="2"/>
        <v>6</v>
      </c>
      <c r="H14" s="247">
        <f>+'2.- datos subt'!C15</f>
        <v>-6</v>
      </c>
      <c r="I14" s="247">
        <f>+'2.- datos subt'!D15</f>
        <v>0</v>
      </c>
      <c r="J14" s="247">
        <f>+'2.- datos subt'!E15</f>
        <v>0</v>
      </c>
    </row>
    <row r="15" spans="1:12" x14ac:dyDescent="0.25">
      <c r="A15" s="200" t="s">
        <v>133</v>
      </c>
      <c r="B15" s="200" t="s">
        <v>114</v>
      </c>
      <c r="C15" s="244" t="s">
        <v>6</v>
      </c>
      <c r="D15" s="245">
        <f>+'2.- datos subt'!B32</f>
        <v>0</v>
      </c>
      <c r="E15" s="245">
        <v>5000</v>
      </c>
      <c r="F15" s="245">
        <f t="shared" si="0"/>
        <v>0</v>
      </c>
      <c r="G15" s="246">
        <f t="shared" si="2"/>
        <v>0</v>
      </c>
      <c r="H15" s="247">
        <v>0</v>
      </c>
      <c r="I15" s="247">
        <v>0</v>
      </c>
      <c r="J15" s="247">
        <v>0</v>
      </c>
    </row>
    <row r="16" spans="1:12" x14ac:dyDescent="0.25">
      <c r="A16" s="200" t="s">
        <v>134</v>
      </c>
      <c r="B16" s="200" t="s">
        <v>87</v>
      </c>
      <c r="C16" s="244" t="s">
        <v>6</v>
      </c>
      <c r="D16" s="245">
        <f>+'2.- datos subt'!B19</f>
        <v>0</v>
      </c>
      <c r="E16" s="245">
        <v>640</v>
      </c>
      <c r="F16" s="245">
        <f t="shared" si="0"/>
        <v>0</v>
      </c>
      <c r="G16" s="246">
        <f t="shared" si="2"/>
        <v>0</v>
      </c>
      <c r="H16" s="247">
        <f>+'2.- datos subt'!C19</f>
        <v>0</v>
      </c>
      <c r="I16" s="247">
        <f>+'2.- datos subt'!D19</f>
        <v>0</v>
      </c>
      <c r="J16" s="247">
        <f>+'2.- datos subt'!E19</f>
        <v>0</v>
      </c>
    </row>
    <row r="17" spans="1:11" ht="25.5" customHeight="1" x14ac:dyDescent="0.25">
      <c r="A17" s="200" t="s">
        <v>135</v>
      </c>
      <c r="B17" s="200" t="s">
        <v>632</v>
      </c>
      <c r="C17" s="244" t="s">
        <v>6</v>
      </c>
      <c r="D17" s="245">
        <f>+D18</f>
        <v>3</v>
      </c>
      <c r="E17" s="245">
        <v>3100</v>
      </c>
      <c r="F17" s="245">
        <f t="shared" ref="F17" si="4">D17*E17</f>
        <v>9300</v>
      </c>
      <c r="G17" s="246">
        <f t="shared" ref="G17" si="5">+D17-SUM(H17:J17)</f>
        <v>3</v>
      </c>
      <c r="H17" s="247">
        <v>0</v>
      </c>
      <c r="I17" s="247">
        <v>0</v>
      </c>
      <c r="J17" s="247">
        <v>0</v>
      </c>
    </row>
    <row r="18" spans="1:11" x14ac:dyDescent="0.25">
      <c r="A18" s="200" t="s">
        <v>135</v>
      </c>
      <c r="B18" s="200" t="s">
        <v>631</v>
      </c>
      <c r="C18" s="244" t="s">
        <v>6</v>
      </c>
      <c r="D18" s="245">
        <f>+'2.- datos subt'!B35</f>
        <v>3</v>
      </c>
      <c r="E18" s="245">
        <v>3200</v>
      </c>
      <c r="F18" s="245">
        <f t="shared" si="0"/>
        <v>9600</v>
      </c>
      <c r="G18" s="246">
        <f t="shared" si="2"/>
        <v>3</v>
      </c>
      <c r="H18" s="247">
        <v>0</v>
      </c>
      <c r="I18" s="247">
        <v>0</v>
      </c>
      <c r="J18" s="247">
        <v>0</v>
      </c>
    </row>
    <row r="19" spans="1:11" x14ac:dyDescent="0.25">
      <c r="A19" s="200" t="s">
        <v>136</v>
      </c>
      <c r="B19" s="200" t="s">
        <v>550</v>
      </c>
      <c r="C19" s="244" t="s">
        <v>6</v>
      </c>
      <c r="D19" s="245">
        <v>2</v>
      </c>
      <c r="E19" s="245">
        <v>1000</v>
      </c>
      <c r="F19" s="245">
        <f t="shared" si="0"/>
        <v>2000</v>
      </c>
      <c r="G19" s="246">
        <f t="shared" si="2"/>
        <v>0</v>
      </c>
      <c r="H19" s="247">
        <v>2</v>
      </c>
      <c r="I19" s="247">
        <v>0</v>
      </c>
      <c r="J19" s="247">
        <v>0</v>
      </c>
    </row>
    <row r="20" spans="1:11" x14ac:dyDescent="0.25">
      <c r="A20" s="200" t="s">
        <v>137</v>
      </c>
      <c r="B20" s="200" t="s">
        <v>108</v>
      </c>
      <c r="C20" s="244" t="s">
        <v>5</v>
      </c>
      <c r="D20" s="245">
        <f>+'2.- datos subt'!B9*'2.- datos subt'!B4</f>
        <v>4632.6000000000004</v>
      </c>
      <c r="E20" s="245">
        <v>1</v>
      </c>
      <c r="F20" s="245">
        <f t="shared" si="0"/>
        <v>4632.6000000000004</v>
      </c>
      <c r="G20" s="246">
        <f t="shared" si="2"/>
        <v>4632.6000000000004</v>
      </c>
      <c r="H20" s="247">
        <f>+'2.- datos subt'!C13</f>
        <v>0</v>
      </c>
      <c r="I20" s="247">
        <f>+'2.- datos subt'!D13</f>
        <v>0</v>
      </c>
      <c r="J20" s="247">
        <f>+'2.- datos subt'!E13</f>
        <v>0</v>
      </c>
    </row>
    <row r="21" spans="1:11" x14ac:dyDescent="0.25">
      <c r="A21" s="200" t="s">
        <v>138</v>
      </c>
      <c r="B21" s="200" t="s">
        <v>109</v>
      </c>
      <c r="C21" s="244" t="s">
        <v>5</v>
      </c>
      <c r="D21" s="245">
        <f>+'2.- datos subt'!B28*'2.- datos subt'!B23</f>
        <v>1355.9805000000001</v>
      </c>
      <c r="E21" s="245">
        <v>1.2</v>
      </c>
      <c r="F21" s="245">
        <f t="shared" si="0"/>
        <v>1627.1766</v>
      </c>
      <c r="G21" s="246">
        <f t="shared" si="2"/>
        <v>1355.9805000000001</v>
      </c>
      <c r="H21" s="247">
        <v>0</v>
      </c>
      <c r="I21" s="247">
        <v>0</v>
      </c>
      <c r="J21" s="247">
        <v>0</v>
      </c>
    </row>
    <row r="22" spans="1:11" x14ac:dyDescent="0.25">
      <c r="A22" s="200" t="s">
        <v>139</v>
      </c>
      <c r="B22" s="200" t="s">
        <v>602</v>
      </c>
      <c r="C22" s="244" t="s">
        <v>6</v>
      </c>
      <c r="D22" s="245">
        <f>+'2.- datos subt'!B5</f>
        <v>0</v>
      </c>
      <c r="E22" s="245">
        <v>300</v>
      </c>
      <c r="F22" s="245">
        <f t="shared" si="0"/>
        <v>0</v>
      </c>
      <c r="G22" s="246">
        <f t="shared" si="2"/>
        <v>0</v>
      </c>
      <c r="H22" s="247">
        <f>+'2.- datos subt'!C5</f>
        <v>0</v>
      </c>
      <c r="I22" s="247">
        <f>+'2.- datos subt'!D5</f>
        <v>0</v>
      </c>
      <c r="J22" s="247">
        <f>+'2.- datos subt'!E5</f>
        <v>0</v>
      </c>
    </row>
    <row r="23" spans="1:11" x14ac:dyDescent="0.25">
      <c r="A23" s="200" t="s">
        <v>140</v>
      </c>
      <c r="B23" s="200" t="s">
        <v>603</v>
      </c>
      <c r="C23" s="244" t="s">
        <v>6</v>
      </c>
      <c r="D23" s="245">
        <f>+'2.- datos subt'!B24</f>
        <v>0</v>
      </c>
      <c r="E23" s="245">
        <v>300</v>
      </c>
      <c r="F23" s="245">
        <f t="shared" si="0"/>
        <v>0</v>
      </c>
      <c r="G23" s="246">
        <f t="shared" si="2"/>
        <v>0</v>
      </c>
      <c r="H23" s="247">
        <v>0</v>
      </c>
      <c r="I23" s="247">
        <v>0</v>
      </c>
      <c r="J23" s="247">
        <v>0</v>
      </c>
    </row>
    <row r="24" spans="1:11" x14ac:dyDescent="0.25">
      <c r="A24" s="294" t="s">
        <v>84</v>
      </c>
      <c r="B24" s="294"/>
      <c r="C24" s="294"/>
      <c r="D24" s="294"/>
      <c r="E24" s="294"/>
      <c r="F24" s="248">
        <f>SUM(F5:F23)</f>
        <v>263177.89159999997</v>
      </c>
      <c r="G24" s="246"/>
      <c r="H24" s="246"/>
      <c r="I24" s="246"/>
      <c r="J24" s="246"/>
      <c r="K24" s="246"/>
    </row>
    <row r="25" spans="1:11" x14ac:dyDescent="0.25">
      <c r="A25" s="299"/>
      <c r="B25" s="299"/>
      <c r="C25" s="299"/>
      <c r="D25" s="299"/>
      <c r="E25" s="299"/>
      <c r="F25" s="299"/>
      <c r="G25" s="246"/>
    </row>
    <row r="26" spans="1:11" x14ac:dyDescent="0.25">
      <c r="A26" s="300" t="s">
        <v>231</v>
      </c>
      <c r="B26" s="300"/>
      <c r="C26" s="300"/>
      <c r="D26" s="300"/>
      <c r="E26" s="300"/>
      <c r="F26" s="300"/>
      <c r="G26" s="246"/>
    </row>
    <row r="27" spans="1:11" x14ac:dyDescent="0.25">
      <c r="A27" s="242" t="s">
        <v>124</v>
      </c>
      <c r="B27" s="242" t="s">
        <v>0</v>
      </c>
      <c r="C27" s="36" t="s">
        <v>1</v>
      </c>
      <c r="D27" s="36" t="s">
        <v>2</v>
      </c>
      <c r="E27" s="36" t="s">
        <v>74</v>
      </c>
      <c r="F27" s="36" t="s">
        <v>3</v>
      </c>
      <c r="G27" s="246"/>
    </row>
    <row r="28" spans="1:11" x14ac:dyDescent="0.25">
      <c r="A28" s="200" t="s">
        <v>141</v>
      </c>
      <c r="B28" s="200" t="str">
        <f>+B5</f>
        <v>Cable aislado 30 kV/240 mm2</v>
      </c>
      <c r="C28" s="200" t="str">
        <f t="shared" ref="C28:D28" si="6">+C5</f>
        <v>m</v>
      </c>
      <c r="D28" s="245">
        <f t="shared" si="6"/>
        <v>13185.99</v>
      </c>
      <c r="E28" s="245">
        <v>1.0999999999999999</v>
      </c>
      <c r="F28" s="245">
        <f t="shared" ref="F28:F46" si="7">D28*E28</f>
        <v>14504.588999999998</v>
      </c>
      <c r="G28" s="246">
        <f t="shared" ref="G28:G46" si="8">+D28-SUM(H28:J28)</f>
        <v>13185.99</v>
      </c>
      <c r="H28" s="245">
        <f>+H5</f>
        <v>0</v>
      </c>
      <c r="I28" s="245">
        <f t="shared" ref="I28:J28" si="9">+I5</f>
        <v>0</v>
      </c>
      <c r="J28" s="245">
        <f t="shared" si="9"/>
        <v>0</v>
      </c>
    </row>
    <row r="29" spans="1:11" x14ac:dyDescent="0.25">
      <c r="A29" s="200" t="s">
        <v>142</v>
      </c>
      <c r="B29" s="200" t="str">
        <f>+B6</f>
        <v>Cable aislado 30 kV/630 mm2</v>
      </c>
      <c r="C29" s="200" t="str">
        <f>+C6</f>
        <v>m</v>
      </c>
      <c r="D29" s="245">
        <f>+D6</f>
        <v>13185.99</v>
      </c>
      <c r="E29" s="245">
        <v>1.5</v>
      </c>
      <c r="F29" s="245">
        <f t="shared" ref="F29" si="10">D29*E29</f>
        <v>19778.985000000001</v>
      </c>
      <c r="G29" s="246">
        <f t="shared" ref="G29" si="11">+D29-SUM(H29:J29)</f>
        <v>13185.99</v>
      </c>
      <c r="H29" s="245">
        <f>+H6</f>
        <v>0</v>
      </c>
      <c r="I29" s="245">
        <f>+I6</f>
        <v>0</v>
      </c>
      <c r="J29" s="245">
        <f>+J6</f>
        <v>0</v>
      </c>
    </row>
    <row r="30" spans="1:11" x14ac:dyDescent="0.25">
      <c r="A30" s="200" t="s">
        <v>142</v>
      </c>
      <c r="B30" s="200" t="str">
        <f>+B7</f>
        <v>Cable aislado 220 kV</v>
      </c>
      <c r="C30" s="200" t="str">
        <f>+C7</f>
        <v>m</v>
      </c>
      <c r="D30" s="245">
        <f>+D7</f>
        <v>451.99350000000004</v>
      </c>
      <c r="E30" s="245">
        <v>6.5</v>
      </c>
      <c r="F30" s="245">
        <f t="shared" si="7"/>
        <v>2937.9577500000005</v>
      </c>
      <c r="G30" s="246">
        <f t="shared" si="8"/>
        <v>451.99350000000004</v>
      </c>
      <c r="H30" s="245">
        <f>+H7</f>
        <v>0</v>
      </c>
      <c r="I30" s="245">
        <f>+I7</f>
        <v>0</v>
      </c>
      <c r="J30" s="245">
        <f>+J7</f>
        <v>0</v>
      </c>
    </row>
    <row r="31" spans="1:11" x14ac:dyDescent="0.25">
      <c r="A31" s="200" t="s">
        <v>143</v>
      </c>
      <c r="B31" s="200" t="str">
        <f>+B8</f>
        <v>Terminales 30 kV  240 mm2</v>
      </c>
      <c r="C31" s="200" t="str">
        <f>+C8</f>
        <v>ud</v>
      </c>
      <c r="D31" s="245">
        <f>+D8</f>
        <v>6</v>
      </c>
      <c r="E31" s="245">
        <f>ROUNDUP(220*240/630,0)</f>
        <v>84</v>
      </c>
      <c r="F31" s="245">
        <f t="shared" ref="F31" si="12">D31*E31</f>
        <v>504</v>
      </c>
      <c r="G31" s="246">
        <f t="shared" ref="G31" si="13">+D31-SUM(H31:J31)</f>
        <v>5</v>
      </c>
      <c r="H31" s="245">
        <f>+H8</f>
        <v>1</v>
      </c>
      <c r="I31" s="245">
        <f>+I8</f>
        <v>0</v>
      </c>
      <c r="J31" s="245">
        <f>+J8</f>
        <v>0</v>
      </c>
    </row>
    <row r="32" spans="1:11" x14ac:dyDescent="0.25">
      <c r="A32" s="200" t="s">
        <v>143</v>
      </c>
      <c r="B32" s="200" t="str">
        <f>+B9</f>
        <v>Terminales 30 kV  630 mm2</v>
      </c>
      <c r="C32" s="200" t="str">
        <f>+C9</f>
        <v>ud</v>
      </c>
      <c r="D32" s="245">
        <f>+D9</f>
        <v>6</v>
      </c>
      <c r="E32" s="245">
        <v>220</v>
      </c>
      <c r="F32" s="245">
        <f t="shared" si="7"/>
        <v>1320</v>
      </c>
      <c r="G32" s="246">
        <f t="shared" si="8"/>
        <v>-3</v>
      </c>
      <c r="H32" s="245">
        <f>+H9</f>
        <v>9</v>
      </c>
      <c r="I32" s="245">
        <f>+I9</f>
        <v>0</v>
      </c>
      <c r="J32" s="245">
        <f>+J9</f>
        <v>0</v>
      </c>
    </row>
    <row r="33" spans="1:11" x14ac:dyDescent="0.25">
      <c r="A33" s="200" t="s">
        <v>144</v>
      </c>
      <c r="B33" s="200" t="str">
        <f t="shared" ref="B33:D33" si="14">+B10</f>
        <v xml:space="preserve">Terminales 220 kV </v>
      </c>
      <c r="C33" s="200" t="str">
        <f t="shared" si="14"/>
        <v>ud</v>
      </c>
      <c r="D33" s="245">
        <f t="shared" si="14"/>
        <v>6</v>
      </c>
      <c r="E33" s="245">
        <v>2600</v>
      </c>
      <c r="F33" s="245">
        <f t="shared" si="7"/>
        <v>15600</v>
      </c>
      <c r="G33" s="246">
        <f t="shared" si="8"/>
        <v>6</v>
      </c>
      <c r="H33" s="245">
        <f t="shared" ref="H33:J33" si="15">+H10</f>
        <v>0</v>
      </c>
      <c r="I33" s="245">
        <f t="shared" si="15"/>
        <v>0</v>
      </c>
      <c r="J33" s="245">
        <f t="shared" si="15"/>
        <v>0</v>
      </c>
    </row>
    <row r="34" spans="1:11" x14ac:dyDescent="0.25">
      <c r="A34" s="200" t="s">
        <v>145</v>
      </c>
      <c r="B34" s="200" t="str">
        <f t="shared" ref="B34:D34" si="16">+B11</f>
        <v xml:space="preserve">Autoválvulas 220 kV </v>
      </c>
      <c r="C34" s="200" t="str">
        <f t="shared" si="16"/>
        <v>ud</v>
      </c>
      <c r="D34" s="245">
        <f t="shared" si="16"/>
        <v>0</v>
      </c>
      <c r="E34" s="245">
        <v>1300</v>
      </c>
      <c r="F34" s="245">
        <f t="shared" si="7"/>
        <v>0</v>
      </c>
      <c r="G34" s="246">
        <f t="shared" si="8"/>
        <v>0</v>
      </c>
      <c r="H34" s="245">
        <f t="shared" ref="H34:J34" si="17">+H11</f>
        <v>0</v>
      </c>
      <c r="I34" s="245">
        <f t="shared" si="17"/>
        <v>0</v>
      </c>
      <c r="J34" s="245">
        <f t="shared" si="17"/>
        <v>0</v>
      </c>
    </row>
    <row r="35" spans="1:11" x14ac:dyDescent="0.25">
      <c r="A35" s="200" t="s">
        <v>146</v>
      </c>
      <c r="B35" s="200" t="str">
        <f t="shared" ref="B35:D35" si="18">+B12</f>
        <v>Cámaras de empalmes 30 kV</v>
      </c>
      <c r="C35" s="200" t="str">
        <f t="shared" si="18"/>
        <v>ud</v>
      </c>
      <c r="D35" s="245">
        <f t="shared" si="18"/>
        <v>0</v>
      </c>
      <c r="E35" s="245">
        <v>400</v>
      </c>
      <c r="F35" s="245">
        <f t="shared" si="7"/>
        <v>0</v>
      </c>
      <c r="G35" s="246">
        <f t="shared" si="8"/>
        <v>1</v>
      </c>
      <c r="H35" s="245">
        <f t="shared" ref="H35:J35" si="19">+H12</f>
        <v>-1</v>
      </c>
      <c r="I35" s="245">
        <f t="shared" si="19"/>
        <v>0</v>
      </c>
      <c r="J35" s="245">
        <f t="shared" si="19"/>
        <v>0</v>
      </c>
    </row>
    <row r="36" spans="1:11" x14ac:dyDescent="0.25">
      <c r="A36" s="200" t="s">
        <v>147</v>
      </c>
      <c r="B36" s="200" t="str">
        <f t="shared" ref="B36:D36" si="20">+B13</f>
        <v>Cámaras de empalmes 220 kV</v>
      </c>
      <c r="C36" s="200" t="str">
        <f t="shared" si="20"/>
        <v>ud</v>
      </c>
      <c r="D36" s="245">
        <f t="shared" si="20"/>
        <v>0</v>
      </c>
      <c r="E36" s="245">
        <v>3100</v>
      </c>
      <c r="F36" s="245">
        <f t="shared" si="7"/>
        <v>0</v>
      </c>
      <c r="G36" s="246">
        <f t="shared" si="8"/>
        <v>0</v>
      </c>
      <c r="H36" s="245">
        <f t="shared" ref="H36:J36" si="21">+H13</f>
        <v>0</v>
      </c>
      <c r="I36" s="245">
        <f t="shared" si="21"/>
        <v>0</v>
      </c>
      <c r="J36" s="245">
        <f t="shared" si="21"/>
        <v>0</v>
      </c>
    </row>
    <row r="37" spans="1:11" x14ac:dyDescent="0.25">
      <c r="A37" s="200" t="s">
        <v>148</v>
      </c>
      <c r="B37" s="200" t="str">
        <f t="shared" ref="B37:D37" si="22">+B14</f>
        <v>Empalmes 30 kV</v>
      </c>
      <c r="C37" s="200" t="str">
        <f t="shared" si="22"/>
        <v>ud</v>
      </c>
      <c r="D37" s="245">
        <f t="shared" si="22"/>
        <v>0</v>
      </c>
      <c r="E37" s="245">
        <v>300</v>
      </c>
      <c r="F37" s="245">
        <f t="shared" si="7"/>
        <v>0</v>
      </c>
      <c r="G37" s="246">
        <f t="shared" si="8"/>
        <v>6</v>
      </c>
      <c r="H37" s="245">
        <f t="shared" ref="H37:J37" si="23">+H14</f>
        <v>-6</v>
      </c>
      <c r="I37" s="245">
        <f t="shared" si="23"/>
        <v>0</v>
      </c>
      <c r="J37" s="245">
        <f t="shared" si="23"/>
        <v>0</v>
      </c>
    </row>
    <row r="38" spans="1:11" x14ac:dyDescent="0.25">
      <c r="A38" s="200" t="s">
        <v>149</v>
      </c>
      <c r="B38" s="200" t="str">
        <f t="shared" ref="B38:D38" si="24">+B15</f>
        <v>Empalmes 220 kV</v>
      </c>
      <c r="C38" s="200" t="str">
        <f t="shared" si="24"/>
        <v>ud</v>
      </c>
      <c r="D38" s="245">
        <f t="shared" si="24"/>
        <v>0</v>
      </c>
      <c r="E38" s="245">
        <v>2500</v>
      </c>
      <c r="F38" s="245">
        <f t="shared" si="7"/>
        <v>0</v>
      </c>
      <c r="G38" s="246">
        <f t="shared" si="8"/>
        <v>0</v>
      </c>
      <c r="H38" s="245">
        <f t="shared" ref="H38:J38" si="25">+H15</f>
        <v>0</v>
      </c>
      <c r="I38" s="245">
        <f t="shared" si="25"/>
        <v>0</v>
      </c>
      <c r="J38" s="245">
        <f t="shared" si="25"/>
        <v>0</v>
      </c>
    </row>
    <row r="39" spans="1:11" x14ac:dyDescent="0.25">
      <c r="A39" s="200" t="s">
        <v>150</v>
      </c>
      <c r="B39" s="200" t="str">
        <f t="shared" ref="B39:D39" si="26">+B16</f>
        <v>Caja de puesta a tierra 30 kV</v>
      </c>
      <c r="C39" s="200" t="str">
        <f t="shared" si="26"/>
        <v>ud</v>
      </c>
      <c r="D39" s="245">
        <f t="shared" si="26"/>
        <v>0</v>
      </c>
      <c r="E39" s="245">
        <v>220</v>
      </c>
      <c r="F39" s="245">
        <f t="shared" si="7"/>
        <v>0</v>
      </c>
      <c r="G39" s="246">
        <f t="shared" si="8"/>
        <v>0</v>
      </c>
      <c r="H39" s="245">
        <f t="shared" ref="H39:J39" si="27">+H16</f>
        <v>0</v>
      </c>
      <c r="I39" s="245">
        <f t="shared" si="27"/>
        <v>0</v>
      </c>
      <c r="J39" s="245">
        <f t="shared" si="27"/>
        <v>0</v>
      </c>
    </row>
    <row r="40" spans="1:11" x14ac:dyDescent="0.25">
      <c r="A40" s="200" t="s">
        <v>151</v>
      </c>
      <c r="B40" s="200" t="str">
        <f t="shared" ref="B40:D41" si="28">+B17</f>
        <v>Caja de puesta a tierra 220 kV intemperie</v>
      </c>
      <c r="C40" s="200" t="str">
        <f t="shared" si="28"/>
        <v>ud</v>
      </c>
      <c r="D40" s="245">
        <f>+D18</f>
        <v>3</v>
      </c>
      <c r="E40" s="245">
        <v>800</v>
      </c>
      <c r="F40" s="245">
        <f t="shared" ref="F40" si="29">D40*E40</f>
        <v>2400</v>
      </c>
      <c r="G40" s="246">
        <f t="shared" ref="G40" si="30">+D40-SUM(H40:J40)</f>
        <v>3</v>
      </c>
      <c r="H40" s="245">
        <f t="shared" ref="H40:J41" si="31">+H17</f>
        <v>0</v>
      </c>
      <c r="I40" s="245">
        <f t="shared" si="31"/>
        <v>0</v>
      </c>
      <c r="J40" s="245">
        <f t="shared" si="31"/>
        <v>0</v>
      </c>
    </row>
    <row r="41" spans="1:11" x14ac:dyDescent="0.25">
      <c r="A41" s="200" t="s">
        <v>151</v>
      </c>
      <c r="B41" s="200" t="str">
        <f t="shared" si="28"/>
        <v>Caja de puesta a tierra 220 kV intemperie con descargador</v>
      </c>
      <c r="C41" s="200" t="str">
        <f t="shared" si="28"/>
        <v>ud</v>
      </c>
      <c r="D41" s="245">
        <f>+D18</f>
        <v>3</v>
      </c>
      <c r="E41" s="245">
        <v>900</v>
      </c>
      <c r="F41" s="245">
        <f t="shared" si="7"/>
        <v>2700</v>
      </c>
      <c r="G41" s="246">
        <f t="shared" si="8"/>
        <v>3</v>
      </c>
      <c r="H41" s="245">
        <f t="shared" si="31"/>
        <v>0</v>
      </c>
      <c r="I41" s="245">
        <f t="shared" si="31"/>
        <v>0</v>
      </c>
      <c r="J41" s="245">
        <f t="shared" si="31"/>
        <v>0</v>
      </c>
    </row>
    <row r="42" spans="1:11" x14ac:dyDescent="0.25">
      <c r="A42" s="200" t="s">
        <v>152</v>
      </c>
      <c r="B42" s="200" t="str">
        <f t="shared" ref="B42:D42" si="32">+B19</f>
        <v>Pequeño material p.a.t pantallas</v>
      </c>
      <c r="C42" s="200" t="str">
        <f t="shared" si="32"/>
        <v>ud</v>
      </c>
      <c r="D42" s="245">
        <f t="shared" si="32"/>
        <v>2</v>
      </c>
      <c r="E42" s="245">
        <v>400</v>
      </c>
      <c r="F42" s="245">
        <f t="shared" si="7"/>
        <v>800</v>
      </c>
      <c r="G42" s="246">
        <f t="shared" si="8"/>
        <v>0</v>
      </c>
      <c r="H42" s="245">
        <f t="shared" ref="H42:J42" si="33">+H19</f>
        <v>2</v>
      </c>
      <c r="I42" s="245">
        <f t="shared" si="33"/>
        <v>0</v>
      </c>
      <c r="J42" s="245">
        <f t="shared" si="33"/>
        <v>0</v>
      </c>
    </row>
    <row r="43" spans="1:11" x14ac:dyDescent="0.25">
      <c r="A43" s="200" t="s">
        <v>153</v>
      </c>
      <c r="B43" s="200" t="str">
        <f t="shared" ref="B43:D43" si="34">+B20</f>
        <v>Cable comunicaciones FO ccto 30 kV</v>
      </c>
      <c r="C43" s="200" t="str">
        <f t="shared" si="34"/>
        <v>m</v>
      </c>
      <c r="D43" s="245">
        <f t="shared" si="34"/>
        <v>4632.6000000000004</v>
      </c>
      <c r="E43" s="245">
        <v>1.9</v>
      </c>
      <c r="F43" s="245">
        <f t="shared" si="7"/>
        <v>8801.94</v>
      </c>
      <c r="G43" s="246">
        <f t="shared" si="8"/>
        <v>4632.6000000000004</v>
      </c>
      <c r="H43" s="245">
        <f>+'2.- datos subt'!C13</f>
        <v>0</v>
      </c>
      <c r="I43" s="245">
        <f>+'2.- datos subt'!D13</f>
        <v>0</v>
      </c>
      <c r="J43" s="245">
        <f>+'2.- datos subt'!E13</f>
        <v>0</v>
      </c>
    </row>
    <row r="44" spans="1:11" x14ac:dyDescent="0.25">
      <c r="A44" s="200" t="s">
        <v>154</v>
      </c>
      <c r="B44" s="200" t="str">
        <f t="shared" ref="B44:D44" si="35">+B21</f>
        <v>Cable comunicaciones FO ccto 220 kV</v>
      </c>
      <c r="C44" s="200" t="str">
        <f t="shared" si="35"/>
        <v>m</v>
      </c>
      <c r="D44" s="245">
        <f t="shared" si="35"/>
        <v>1355.9805000000001</v>
      </c>
      <c r="E44" s="245">
        <v>2.8</v>
      </c>
      <c r="F44" s="245">
        <f t="shared" si="7"/>
        <v>3796.7454000000002</v>
      </c>
      <c r="G44" s="246">
        <f t="shared" si="8"/>
        <v>1355.9805000000001</v>
      </c>
      <c r="H44" s="245">
        <f t="shared" ref="H44:J44" si="36">+H21</f>
        <v>0</v>
      </c>
      <c r="I44" s="245">
        <f t="shared" si="36"/>
        <v>0</v>
      </c>
      <c r="J44" s="245">
        <f t="shared" si="36"/>
        <v>0</v>
      </c>
    </row>
    <row r="45" spans="1:11" x14ac:dyDescent="0.25">
      <c r="A45" s="200" t="s">
        <v>155</v>
      </c>
      <c r="B45" s="200" t="str">
        <f t="shared" ref="B45:D45" si="37">+B22</f>
        <v>Cajas empalme FO ccto 30 kV</v>
      </c>
      <c r="C45" s="200" t="str">
        <f t="shared" si="37"/>
        <v>ud</v>
      </c>
      <c r="D45" s="245">
        <f t="shared" si="37"/>
        <v>0</v>
      </c>
      <c r="E45" s="245">
        <v>400</v>
      </c>
      <c r="F45" s="245">
        <f t="shared" si="7"/>
        <v>0</v>
      </c>
      <c r="G45" s="246">
        <f t="shared" si="8"/>
        <v>0</v>
      </c>
      <c r="H45" s="245">
        <f>+'2.- datos subt'!C5</f>
        <v>0</v>
      </c>
      <c r="I45" s="245">
        <f>+'2.- datos subt'!D5</f>
        <v>0</v>
      </c>
      <c r="J45" s="245">
        <f>+'2.- datos subt'!E5</f>
        <v>0</v>
      </c>
    </row>
    <row r="46" spans="1:11" x14ac:dyDescent="0.25">
      <c r="A46" s="200" t="s">
        <v>156</v>
      </c>
      <c r="B46" s="200" t="str">
        <f t="shared" ref="B46:D46" si="38">+B23</f>
        <v>Cajas empalme FO ccto 220 kV</v>
      </c>
      <c r="C46" s="200" t="str">
        <f t="shared" si="38"/>
        <v>ud</v>
      </c>
      <c r="D46" s="245">
        <f t="shared" si="38"/>
        <v>0</v>
      </c>
      <c r="E46" s="245">
        <v>600</v>
      </c>
      <c r="F46" s="245">
        <f t="shared" si="7"/>
        <v>0</v>
      </c>
      <c r="G46" s="246">
        <f t="shared" si="8"/>
        <v>0</v>
      </c>
      <c r="H46" s="245">
        <f t="shared" ref="H46:J46" si="39">+H23</f>
        <v>0</v>
      </c>
      <c r="I46" s="245">
        <f t="shared" si="39"/>
        <v>0</v>
      </c>
      <c r="J46" s="245">
        <f t="shared" si="39"/>
        <v>0</v>
      </c>
    </row>
    <row r="47" spans="1:11" x14ac:dyDescent="0.25">
      <c r="A47" s="294" t="s">
        <v>85</v>
      </c>
      <c r="B47" s="294"/>
      <c r="C47" s="294"/>
      <c r="D47" s="294"/>
      <c r="E47" s="294"/>
      <c r="F47" s="248">
        <f>SUM(F28:F46)</f>
        <v>73144.217149999997</v>
      </c>
      <c r="G47" s="246"/>
      <c r="H47" s="246"/>
      <c r="I47" s="246"/>
      <c r="J47" s="246"/>
      <c r="K47" s="246"/>
    </row>
    <row r="48" spans="1:11" x14ac:dyDescent="0.25">
      <c r="A48" s="299"/>
      <c r="B48" s="299"/>
      <c r="C48" s="299"/>
      <c r="D48" s="299"/>
      <c r="E48" s="299"/>
      <c r="F48" s="299"/>
      <c r="G48" s="246"/>
    </row>
    <row r="49" spans="1:10" x14ac:dyDescent="0.25">
      <c r="A49" s="300" t="s">
        <v>230</v>
      </c>
      <c r="B49" s="300"/>
      <c r="C49" s="300"/>
      <c r="D49" s="300"/>
      <c r="E49" s="300"/>
      <c r="F49" s="300"/>
      <c r="G49" s="246"/>
    </row>
    <row r="50" spans="1:10" x14ac:dyDescent="0.25">
      <c r="A50" s="242" t="s">
        <v>124</v>
      </c>
      <c r="B50" s="242" t="s">
        <v>0</v>
      </c>
      <c r="C50" s="36" t="s">
        <v>1</v>
      </c>
      <c r="D50" s="36" t="s">
        <v>2</v>
      </c>
      <c r="E50" s="36" t="s">
        <v>74</v>
      </c>
      <c r="F50" s="36" t="s">
        <v>3</v>
      </c>
      <c r="G50" s="246"/>
    </row>
    <row r="51" spans="1:10" ht="38.25" x14ac:dyDescent="0.25">
      <c r="A51" s="200" t="s">
        <v>157</v>
      </c>
      <c r="B51" s="200" t="s">
        <v>164</v>
      </c>
      <c r="C51" s="244" t="s">
        <v>5</v>
      </c>
      <c r="D51" s="244">
        <f>+'2.- datos subt'!B6-D53</f>
        <v>2206</v>
      </c>
      <c r="E51" s="245">
        <v>24</v>
      </c>
      <c r="F51" s="245">
        <f t="shared" ref="F51:F56" si="40">D51*E51</f>
        <v>52944</v>
      </c>
      <c r="G51" s="246">
        <f t="shared" ref="G51:G56" si="41">+D51-SUM(H51:J51)</f>
        <v>2206</v>
      </c>
      <c r="H51" s="247">
        <f>+'2.- datos subt'!C6-H53</f>
        <v>0</v>
      </c>
      <c r="I51" s="247">
        <f>+'2.- datos subt'!D6-I53</f>
        <v>0</v>
      </c>
      <c r="J51" s="247">
        <f>+'2.- datos subt'!E6-J53</f>
        <v>0</v>
      </c>
    </row>
    <row r="52" spans="1:10" ht="38.25" x14ac:dyDescent="0.25">
      <c r="A52" s="200" t="s">
        <v>158</v>
      </c>
      <c r="B52" s="200" t="s">
        <v>549</v>
      </c>
      <c r="C52" s="244" t="s">
        <v>5</v>
      </c>
      <c r="D52" s="244">
        <f>+'2.- datos subt'!B25</f>
        <v>430.47</v>
      </c>
      <c r="E52" s="245">
        <v>80</v>
      </c>
      <c r="F52" s="245">
        <f t="shared" si="40"/>
        <v>34437.600000000006</v>
      </c>
      <c r="G52" s="246">
        <f t="shared" si="41"/>
        <v>430.47</v>
      </c>
      <c r="H52" s="247">
        <v>0</v>
      </c>
      <c r="I52" s="247">
        <v>0</v>
      </c>
      <c r="J52" s="247">
        <v>0</v>
      </c>
    </row>
    <row r="53" spans="1:10" x14ac:dyDescent="0.25">
      <c r="A53" s="200" t="s">
        <v>159</v>
      </c>
      <c r="B53" s="200" t="s">
        <v>162</v>
      </c>
      <c r="C53" s="244" t="s">
        <v>5</v>
      </c>
      <c r="D53" s="244">
        <f>+'2.- datos subt'!B7</f>
        <v>0</v>
      </c>
      <c r="E53" s="245">
        <v>250</v>
      </c>
      <c r="F53" s="245">
        <f t="shared" si="40"/>
        <v>0</v>
      </c>
      <c r="G53" s="246">
        <f t="shared" si="41"/>
        <v>0</v>
      </c>
      <c r="H53" s="247">
        <f>+'2.- datos subt'!C7</f>
        <v>0</v>
      </c>
      <c r="I53" s="247">
        <f>+'2.- datos subt'!D7</f>
        <v>0</v>
      </c>
      <c r="J53" s="247">
        <f>+'2.- datos subt'!E7</f>
        <v>0</v>
      </c>
    </row>
    <row r="54" spans="1:10" x14ac:dyDescent="0.25">
      <c r="A54" s="200" t="s">
        <v>160</v>
      </c>
      <c r="B54" s="200" t="s">
        <v>163</v>
      </c>
      <c r="C54" s="244" t="s">
        <v>5</v>
      </c>
      <c r="D54" s="244">
        <f>+'2.- datos subt'!B26</f>
        <v>0</v>
      </c>
      <c r="E54" s="245">
        <v>1300</v>
      </c>
      <c r="F54" s="245">
        <f t="shared" si="40"/>
        <v>0</v>
      </c>
      <c r="G54" s="246">
        <f t="shared" si="41"/>
        <v>0</v>
      </c>
      <c r="H54" s="247">
        <v>0</v>
      </c>
      <c r="I54" s="247">
        <v>0</v>
      </c>
      <c r="J54" s="247">
        <v>0</v>
      </c>
    </row>
    <row r="55" spans="1:10" x14ac:dyDescent="0.25">
      <c r="A55" s="200" t="s">
        <v>161</v>
      </c>
      <c r="B55" s="200" t="str">
        <f>+B12</f>
        <v>Cámaras de empalmes 30 kV</v>
      </c>
      <c r="C55" s="244" t="s">
        <v>6</v>
      </c>
      <c r="D55" s="244">
        <f>+'2.- datos subt'!B15</f>
        <v>0</v>
      </c>
      <c r="E55" s="245">
        <v>400</v>
      </c>
      <c r="F55" s="245">
        <f t="shared" si="40"/>
        <v>0</v>
      </c>
      <c r="G55" s="246">
        <f t="shared" si="41"/>
        <v>6</v>
      </c>
      <c r="H55" s="247">
        <f>+'2.- datos subt'!C15</f>
        <v>-6</v>
      </c>
      <c r="I55" s="247">
        <f>+'2.- datos subt'!D15</f>
        <v>0</v>
      </c>
      <c r="J55" s="247">
        <f>+'2.- datos subt'!E15</f>
        <v>0</v>
      </c>
    </row>
    <row r="56" spans="1:10" x14ac:dyDescent="0.25">
      <c r="A56" s="200" t="s">
        <v>165</v>
      </c>
      <c r="B56" s="200" t="str">
        <f>+B13</f>
        <v>Cámaras de empalmes 220 kV</v>
      </c>
      <c r="C56" s="244" t="s">
        <v>6</v>
      </c>
      <c r="D56" s="244">
        <f>+'2.- datos subt'!B31</f>
        <v>0</v>
      </c>
      <c r="E56" s="245">
        <v>7500</v>
      </c>
      <c r="F56" s="245">
        <f t="shared" si="40"/>
        <v>0</v>
      </c>
      <c r="G56" s="246">
        <f t="shared" si="41"/>
        <v>0</v>
      </c>
      <c r="H56" s="247">
        <v>0</v>
      </c>
      <c r="I56" s="247">
        <v>0</v>
      </c>
      <c r="J56" s="247">
        <v>0</v>
      </c>
    </row>
    <row r="57" spans="1:10" x14ac:dyDescent="0.25">
      <c r="A57" s="294" t="s">
        <v>86</v>
      </c>
      <c r="B57" s="294"/>
      <c r="C57" s="294"/>
      <c r="D57" s="294"/>
      <c r="E57" s="294"/>
      <c r="F57" s="248">
        <f>SUM(F51:F56)</f>
        <v>87381.6</v>
      </c>
      <c r="G57" s="241"/>
    </row>
    <row r="58" spans="1:10" x14ac:dyDescent="0.25">
      <c r="A58" s="294" t="s">
        <v>234</v>
      </c>
      <c r="B58" s="294"/>
      <c r="C58" s="294"/>
      <c r="D58" s="294"/>
      <c r="E58" s="294"/>
      <c r="F58" s="248">
        <f>+F57+F47+F24</f>
        <v>423703.70874999999</v>
      </c>
      <c r="G58" s="241"/>
    </row>
    <row r="59" spans="1:10" x14ac:dyDescent="0.25">
      <c r="A59" s="299"/>
      <c r="B59" s="299"/>
      <c r="C59" s="299"/>
      <c r="D59" s="299"/>
      <c r="E59" s="299"/>
      <c r="F59" s="299"/>
      <c r="G59" s="246"/>
    </row>
    <row r="60" spans="1:10" x14ac:dyDescent="0.25">
      <c r="A60" s="300" t="s">
        <v>166</v>
      </c>
      <c r="B60" s="300"/>
      <c r="C60" s="300"/>
      <c r="D60" s="300"/>
      <c r="E60" s="300"/>
      <c r="F60" s="300"/>
      <c r="G60" s="246"/>
    </row>
    <row r="61" spans="1:10" x14ac:dyDescent="0.25">
      <c r="A61" s="300" t="s">
        <v>229</v>
      </c>
      <c r="B61" s="300"/>
      <c r="C61" s="300"/>
      <c r="D61" s="300"/>
      <c r="E61" s="300"/>
      <c r="F61" s="300"/>
      <c r="G61" s="246"/>
    </row>
    <row r="62" spans="1:10" x14ac:dyDescent="0.25">
      <c r="A62" s="242" t="s">
        <v>124</v>
      </c>
      <c r="B62" s="242" t="s">
        <v>0</v>
      </c>
      <c r="C62" s="36" t="s">
        <v>1</v>
      </c>
      <c r="D62" s="36" t="s">
        <v>2</v>
      </c>
      <c r="E62" s="36" t="s">
        <v>74</v>
      </c>
      <c r="F62" s="36" t="s">
        <v>3</v>
      </c>
      <c r="G62" s="246"/>
    </row>
    <row r="63" spans="1:10" ht="25.5" x14ac:dyDescent="0.25">
      <c r="A63" s="200" t="s">
        <v>167</v>
      </c>
      <c r="B63" s="201" t="s">
        <v>615</v>
      </c>
      <c r="C63" s="244" t="s">
        <v>514</v>
      </c>
      <c r="D63" s="245">
        <f>+'1.- datos aéreo'!R16</f>
        <v>0</v>
      </c>
      <c r="E63" s="245">
        <v>750</v>
      </c>
      <c r="F63" s="245">
        <f t="shared" ref="F63:F96" si="42">D63*E63</f>
        <v>0</v>
      </c>
      <c r="G63" s="246">
        <f t="shared" ref="G63:G96" si="43">+D63-SUM(H63:J63)</f>
        <v>0</v>
      </c>
      <c r="H63" s="247"/>
      <c r="I63" s="247"/>
      <c r="J63" s="247"/>
    </row>
    <row r="64" spans="1:10" x14ac:dyDescent="0.25">
      <c r="A64" s="200" t="s">
        <v>192</v>
      </c>
      <c r="B64" s="201" t="s">
        <v>169</v>
      </c>
      <c r="C64" s="244" t="s">
        <v>4</v>
      </c>
      <c r="D64" s="245">
        <f>+'1.- datos aéreo'!O50</f>
        <v>0</v>
      </c>
      <c r="E64" s="245">
        <v>1.8</v>
      </c>
      <c r="F64" s="245">
        <f t="shared" si="42"/>
        <v>0</v>
      </c>
      <c r="G64" s="246">
        <f t="shared" si="43"/>
        <v>0</v>
      </c>
      <c r="H64" s="247"/>
      <c r="I64" s="247"/>
      <c r="J64" s="247"/>
    </row>
    <row r="65" spans="1:10" x14ac:dyDescent="0.25">
      <c r="A65" s="200" t="s">
        <v>193</v>
      </c>
      <c r="B65" s="201" t="s">
        <v>170</v>
      </c>
      <c r="C65" s="244" t="s">
        <v>4</v>
      </c>
      <c r="D65" s="245">
        <f>+'1.- datos aéreo'!O51</f>
        <v>0</v>
      </c>
      <c r="E65" s="245">
        <f>+E64</f>
        <v>1.8</v>
      </c>
      <c r="F65" s="245">
        <f t="shared" si="42"/>
        <v>0</v>
      </c>
      <c r="G65" s="246">
        <f t="shared" si="43"/>
        <v>0</v>
      </c>
      <c r="H65" s="247"/>
      <c r="I65" s="247"/>
      <c r="J65" s="247"/>
    </row>
    <row r="66" spans="1:10" x14ac:dyDescent="0.25">
      <c r="A66" s="200" t="s">
        <v>194</v>
      </c>
      <c r="B66" s="201" t="s">
        <v>172</v>
      </c>
      <c r="C66" s="244" t="s">
        <v>4</v>
      </c>
      <c r="D66" s="245">
        <f>+'1.- datos aéreo'!O52</f>
        <v>0</v>
      </c>
      <c r="E66" s="245">
        <f>0.8*2.61</f>
        <v>2.0880000000000001</v>
      </c>
      <c r="F66" s="245">
        <f t="shared" si="42"/>
        <v>0</v>
      </c>
      <c r="G66" s="246">
        <f t="shared" si="43"/>
        <v>0</v>
      </c>
      <c r="H66" s="247"/>
      <c r="I66" s="247"/>
      <c r="J66" s="247"/>
    </row>
    <row r="67" spans="1:10" x14ac:dyDescent="0.25">
      <c r="A67" s="200" t="s">
        <v>195</v>
      </c>
      <c r="B67" s="201" t="s">
        <v>171</v>
      </c>
      <c r="C67" s="244" t="s">
        <v>5</v>
      </c>
      <c r="D67" s="245">
        <f>+'1.- datos aéreo'!O53</f>
        <v>0</v>
      </c>
      <c r="E67" s="245">
        <v>1.6</v>
      </c>
      <c r="F67" s="245">
        <f t="shared" si="42"/>
        <v>0</v>
      </c>
      <c r="G67" s="246">
        <f t="shared" si="43"/>
        <v>0</v>
      </c>
      <c r="H67" s="247"/>
      <c r="I67" s="247"/>
      <c r="J67" s="247"/>
    </row>
    <row r="68" spans="1:10" x14ac:dyDescent="0.25">
      <c r="A68" s="200" t="s">
        <v>196</v>
      </c>
      <c r="B68" s="201" t="s">
        <v>173</v>
      </c>
      <c r="C68" s="244" t="s">
        <v>5</v>
      </c>
      <c r="D68" s="245">
        <f>+'1.- datos aéreo'!O54</f>
        <v>0</v>
      </c>
      <c r="E68" s="245">
        <f>+E67</f>
        <v>1.6</v>
      </c>
      <c r="F68" s="245">
        <f t="shared" si="42"/>
        <v>0</v>
      </c>
      <c r="G68" s="246">
        <f t="shared" si="43"/>
        <v>0</v>
      </c>
      <c r="H68" s="247"/>
      <c r="I68" s="247"/>
      <c r="J68" s="247"/>
    </row>
    <row r="69" spans="1:10" ht="25.5" x14ac:dyDescent="0.25">
      <c r="A69" s="200" t="s">
        <v>197</v>
      </c>
      <c r="B69" s="201" t="s">
        <v>175</v>
      </c>
      <c r="C69" s="244" t="s">
        <v>6</v>
      </c>
      <c r="D69" s="245">
        <f>+'1.- datos aéreo'!O55</f>
        <v>0</v>
      </c>
      <c r="E69" s="245">
        <v>20</v>
      </c>
      <c r="F69" s="245">
        <f t="shared" si="42"/>
        <v>0</v>
      </c>
      <c r="G69" s="246">
        <f t="shared" si="43"/>
        <v>0</v>
      </c>
      <c r="H69" s="247"/>
      <c r="I69" s="247"/>
      <c r="J69" s="247"/>
    </row>
    <row r="70" spans="1:10" ht="38.25" x14ac:dyDescent="0.25">
      <c r="A70" s="200" t="s">
        <v>198</v>
      </c>
      <c r="B70" s="201" t="s">
        <v>177</v>
      </c>
      <c r="C70" s="244" t="s">
        <v>6</v>
      </c>
      <c r="D70" s="245">
        <f>+'1.- datos aéreo'!O56</f>
        <v>0</v>
      </c>
      <c r="E70" s="245">
        <v>65</v>
      </c>
      <c r="F70" s="245">
        <f t="shared" si="42"/>
        <v>0</v>
      </c>
      <c r="G70" s="246">
        <f t="shared" si="43"/>
        <v>0</v>
      </c>
      <c r="H70" s="247"/>
      <c r="I70" s="247"/>
      <c r="J70" s="247"/>
    </row>
    <row r="71" spans="1:10" ht="25.5" x14ac:dyDescent="0.25">
      <c r="A71" s="200" t="s">
        <v>199</v>
      </c>
      <c r="B71" s="201" t="s">
        <v>174</v>
      </c>
      <c r="C71" s="244" t="s">
        <v>6</v>
      </c>
      <c r="D71" s="245">
        <f>+'1.- datos aéreo'!O57</f>
        <v>0</v>
      </c>
      <c r="E71" s="245">
        <v>85</v>
      </c>
      <c r="F71" s="245">
        <f t="shared" si="42"/>
        <v>0</v>
      </c>
      <c r="G71" s="246">
        <f t="shared" si="43"/>
        <v>0</v>
      </c>
      <c r="H71" s="247"/>
      <c r="I71" s="247"/>
      <c r="J71" s="247"/>
    </row>
    <row r="72" spans="1:10" ht="25.5" x14ac:dyDescent="0.25">
      <c r="A72" s="200" t="s">
        <v>200</v>
      </c>
      <c r="B72" s="201" t="s">
        <v>176</v>
      </c>
      <c r="C72" s="244" t="s">
        <v>6</v>
      </c>
      <c r="D72" s="245">
        <f>+'1.- datos aéreo'!O58</f>
        <v>0</v>
      </c>
      <c r="E72" s="245">
        <v>101</v>
      </c>
      <c r="F72" s="245">
        <f t="shared" si="42"/>
        <v>0</v>
      </c>
      <c r="G72" s="246">
        <f t="shared" si="43"/>
        <v>0</v>
      </c>
      <c r="H72" s="247"/>
      <c r="I72" s="247"/>
      <c r="J72" s="247"/>
    </row>
    <row r="73" spans="1:10" ht="25.5" x14ac:dyDescent="0.25">
      <c r="A73" s="200" t="s">
        <v>201</v>
      </c>
      <c r="B73" s="201" t="s">
        <v>179</v>
      </c>
      <c r="C73" s="244" t="s">
        <v>6</v>
      </c>
      <c r="D73" s="245">
        <f>+'1.- datos aéreo'!O59</f>
        <v>0</v>
      </c>
      <c r="E73" s="245">
        <v>240</v>
      </c>
      <c r="F73" s="245">
        <f t="shared" si="42"/>
        <v>0</v>
      </c>
      <c r="G73" s="246">
        <f t="shared" si="43"/>
        <v>0</v>
      </c>
      <c r="H73" s="247"/>
      <c r="I73" s="247"/>
      <c r="J73" s="247"/>
    </row>
    <row r="74" spans="1:10" ht="38.25" x14ac:dyDescent="0.25">
      <c r="A74" s="200" t="s">
        <v>202</v>
      </c>
      <c r="B74" s="201" t="s">
        <v>178</v>
      </c>
      <c r="C74" s="244" t="s">
        <v>6</v>
      </c>
      <c r="D74" s="245">
        <f>+'1.- datos aéreo'!O60</f>
        <v>0</v>
      </c>
      <c r="E74" s="245">
        <f>+E73*1.1</f>
        <v>264</v>
      </c>
      <c r="F74" s="245">
        <f t="shared" si="42"/>
        <v>0</v>
      </c>
      <c r="G74" s="246">
        <f t="shared" si="43"/>
        <v>0</v>
      </c>
      <c r="H74" s="247"/>
      <c r="I74" s="247"/>
      <c r="J74" s="247"/>
    </row>
    <row r="75" spans="1:10" ht="25.5" x14ac:dyDescent="0.25">
      <c r="A75" s="200" t="s">
        <v>203</v>
      </c>
      <c r="B75" s="201" t="s">
        <v>539</v>
      </c>
      <c r="C75" s="244" t="s">
        <v>6</v>
      </c>
      <c r="D75" s="245">
        <f>+'1.- datos aéreo'!O61</f>
        <v>0</v>
      </c>
      <c r="E75" s="245">
        <f>+E74*1.1</f>
        <v>290.40000000000003</v>
      </c>
      <c r="F75" s="245">
        <f t="shared" si="42"/>
        <v>0</v>
      </c>
      <c r="G75" s="246">
        <f t="shared" si="43"/>
        <v>0</v>
      </c>
      <c r="H75" s="247"/>
      <c r="I75" s="247"/>
      <c r="J75" s="247"/>
    </row>
    <row r="76" spans="1:10" ht="25.5" x14ac:dyDescent="0.25">
      <c r="A76" s="200" t="s">
        <v>204</v>
      </c>
      <c r="B76" s="201" t="s">
        <v>181</v>
      </c>
      <c r="C76" s="244" t="s">
        <v>6</v>
      </c>
      <c r="D76" s="245">
        <f>+'1.- datos aéreo'!O62</f>
        <v>0</v>
      </c>
      <c r="E76" s="245">
        <f>+E75*1.3</f>
        <v>377.52000000000004</v>
      </c>
      <c r="F76" s="245">
        <f t="shared" si="42"/>
        <v>0</v>
      </c>
      <c r="G76" s="246">
        <f t="shared" si="43"/>
        <v>0</v>
      </c>
      <c r="H76" s="247"/>
      <c r="I76" s="247"/>
      <c r="J76" s="247"/>
    </row>
    <row r="77" spans="1:10" x14ac:dyDescent="0.25">
      <c r="A77" s="200" t="s">
        <v>205</v>
      </c>
      <c r="B77" s="201" t="s">
        <v>182</v>
      </c>
      <c r="C77" s="244" t="s">
        <v>6</v>
      </c>
      <c r="D77" s="245">
        <f>+'1.- datos aéreo'!O63</f>
        <v>0</v>
      </c>
      <c r="E77" s="245">
        <v>250</v>
      </c>
      <c r="F77" s="245">
        <f t="shared" si="42"/>
        <v>0</v>
      </c>
      <c r="G77" s="246">
        <f t="shared" si="43"/>
        <v>0</v>
      </c>
      <c r="H77" s="247"/>
      <c r="I77" s="247"/>
      <c r="J77" s="247"/>
    </row>
    <row r="78" spans="1:10" ht="38.25" x14ac:dyDescent="0.25">
      <c r="A78" s="200" t="s">
        <v>206</v>
      </c>
      <c r="B78" s="201" t="s">
        <v>183</v>
      </c>
      <c r="C78" s="244" t="s">
        <v>6</v>
      </c>
      <c r="D78" s="245">
        <f>+'1.- datos aéreo'!O64</f>
        <v>0</v>
      </c>
      <c r="E78" s="245">
        <f>+E77*1.1</f>
        <v>275</v>
      </c>
      <c r="F78" s="245">
        <f t="shared" si="42"/>
        <v>0</v>
      </c>
      <c r="G78" s="246">
        <f t="shared" si="43"/>
        <v>0</v>
      </c>
      <c r="H78" s="247"/>
      <c r="I78" s="247"/>
      <c r="J78" s="247"/>
    </row>
    <row r="79" spans="1:10" x14ac:dyDescent="0.25">
      <c r="A79" s="200" t="s">
        <v>207</v>
      </c>
      <c r="B79" s="201" t="s">
        <v>184</v>
      </c>
      <c r="C79" s="244" t="s">
        <v>6</v>
      </c>
      <c r="D79" s="245">
        <f>+'1.- datos aéreo'!O65</f>
        <v>0</v>
      </c>
      <c r="E79" s="245">
        <f>+E78*1.1</f>
        <v>302.5</v>
      </c>
      <c r="F79" s="245">
        <f t="shared" si="42"/>
        <v>0</v>
      </c>
      <c r="G79" s="246">
        <f t="shared" si="43"/>
        <v>0</v>
      </c>
      <c r="H79" s="247"/>
      <c r="I79" s="247"/>
      <c r="J79" s="247"/>
    </row>
    <row r="80" spans="1:10" x14ac:dyDescent="0.25">
      <c r="A80" s="200" t="s">
        <v>208</v>
      </c>
      <c r="B80" s="201" t="s">
        <v>185</v>
      </c>
      <c r="C80" s="244" t="s">
        <v>6</v>
      </c>
      <c r="D80" s="245">
        <f>+'1.- datos aéreo'!O66</f>
        <v>0</v>
      </c>
      <c r="E80" s="245">
        <f>+E79*1.3</f>
        <v>393.25</v>
      </c>
      <c r="F80" s="245">
        <f t="shared" si="42"/>
        <v>0</v>
      </c>
      <c r="G80" s="246">
        <f t="shared" si="43"/>
        <v>0</v>
      </c>
      <c r="H80" s="247"/>
      <c r="I80" s="247"/>
      <c r="J80" s="247"/>
    </row>
    <row r="81" spans="1:10" ht="25.5" x14ac:dyDescent="0.25">
      <c r="A81" s="200" t="s">
        <v>209</v>
      </c>
      <c r="B81" s="201" t="s">
        <v>189</v>
      </c>
      <c r="C81" s="244" t="s">
        <v>6</v>
      </c>
      <c r="D81" s="245">
        <f>+'1.- datos aéreo'!O67</f>
        <v>0</v>
      </c>
      <c r="E81" s="245">
        <v>40</v>
      </c>
      <c r="F81" s="245">
        <f t="shared" si="42"/>
        <v>0</v>
      </c>
      <c r="G81" s="246">
        <f t="shared" si="43"/>
        <v>0</v>
      </c>
      <c r="H81" s="247"/>
      <c r="I81" s="247"/>
      <c r="J81" s="247"/>
    </row>
    <row r="82" spans="1:10" ht="25.5" x14ac:dyDescent="0.25">
      <c r="A82" s="200" t="s">
        <v>210</v>
      </c>
      <c r="B82" s="201" t="s">
        <v>190</v>
      </c>
      <c r="C82" s="244" t="s">
        <v>6</v>
      </c>
      <c r="D82" s="245">
        <f>+'1.- datos aéreo'!O68</f>
        <v>0</v>
      </c>
      <c r="E82" s="245">
        <f>+E81</f>
        <v>40</v>
      </c>
      <c r="F82" s="245">
        <f t="shared" si="42"/>
        <v>0</v>
      </c>
      <c r="G82" s="246">
        <f t="shared" si="43"/>
        <v>0</v>
      </c>
      <c r="H82" s="247"/>
      <c r="I82" s="247"/>
      <c r="J82" s="247"/>
    </row>
    <row r="83" spans="1:10" ht="25.5" x14ac:dyDescent="0.25">
      <c r="A83" s="200" t="s">
        <v>211</v>
      </c>
      <c r="B83" s="201" t="s">
        <v>191</v>
      </c>
      <c r="C83" s="244" t="s">
        <v>6</v>
      </c>
      <c r="D83" s="245">
        <f>+'1.- datos aéreo'!O69</f>
        <v>0</v>
      </c>
      <c r="E83" s="245">
        <f>+E82</f>
        <v>40</v>
      </c>
      <c r="F83" s="245">
        <f t="shared" si="42"/>
        <v>0</v>
      </c>
      <c r="G83" s="246">
        <f t="shared" si="43"/>
        <v>0</v>
      </c>
      <c r="H83" s="247"/>
      <c r="I83" s="247"/>
      <c r="J83" s="247"/>
    </row>
    <row r="84" spans="1:10" ht="25.5" x14ac:dyDescent="0.25">
      <c r="A84" s="200" t="s">
        <v>212</v>
      </c>
      <c r="B84" s="201" t="s">
        <v>186</v>
      </c>
      <c r="C84" s="244" t="s">
        <v>6</v>
      </c>
      <c r="D84" s="245">
        <f>+'1.- datos aéreo'!O70</f>
        <v>0</v>
      </c>
      <c r="E84" s="245">
        <f>+E81*1.3</f>
        <v>52</v>
      </c>
      <c r="F84" s="245">
        <f t="shared" si="42"/>
        <v>0</v>
      </c>
      <c r="G84" s="246">
        <f t="shared" si="43"/>
        <v>0</v>
      </c>
      <c r="H84" s="247"/>
      <c r="I84" s="247"/>
      <c r="J84" s="247"/>
    </row>
    <row r="85" spans="1:10" ht="25.5" x14ac:dyDescent="0.25">
      <c r="A85" s="200" t="s">
        <v>213</v>
      </c>
      <c r="B85" s="201" t="s">
        <v>187</v>
      </c>
      <c r="C85" s="244" t="s">
        <v>6</v>
      </c>
      <c r="D85" s="245">
        <f>+'1.- datos aéreo'!O71</f>
        <v>0</v>
      </c>
      <c r="E85" s="245">
        <f>+E84</f>
        <v>52</v>
      </c>
      <c r="F85" s="245">
        <f t="shared" si="42"/>
        <v>0</v>
      </c>
      <c r="G85" s="246">
        <f t="shared" si="43"/>
        <v>0</v>
      </c>
      <c r="H85" s="247"/>
      <c r="I85" s="247"/>
      <c r="J85" s="247"/>
    </row>
    <row r="86" spans="1:10" ht="25.5" x14ac:dyDescent="0.25">
      <c r="A86" s="200" t="s">
        <v>214</v>
      </c>
      <c r="B86" s="201" t="s">
        <v>188</v>
      </c>
      <c r="C86" s="244" t="s">
        <v>6</v>
      </c>
      <c r="D86" s="245">
        <f>+'1.- datos aéreo'!O72</f>
        <v>0</v>
      </c>
      <c r="E86" s="245">
        <f>+E85</f>
        <v>52</v>
      </c>
      <c r="F86" s="245">
        <f t="shared" si="42"/>
        <v>0</v>
      </c>
      <c r="G86" s="246">
        <f t="shared" si="43"/>
        <v>0</v>
      </c>
      <c r="H86" s="247"/>
      <c r="I86" s="247"/>
      <c r="J86" s="247"/>
    </row>
    <row r="87" spans="1:10" x14ac:dyDescent="0.25">
      <c r="A87" s="200" t="s">
        <v>215</v>
      </c>
      <c r="B87" s="201" t="s">
        <v>217</v>
      </c>
      <c r="C87" s="244" t="s">
        <v>6</v>
      </c>
      <c r="D87" s="245">
        <f>+'1.- datos aéreo'!O73</f>
        <v>0</v>
      </c>
      <c r="E87" s="245">
        <v>12</v>
      </c>
      <c r="F87" s="245">
        <f t="shared" si="42"/>
        <v>0</v>
      </c>
      <c r="G87" s="246">
        <f t="shared" si="43"/>
        <v>0</v>
      </c>
      <c r="H87" s="247"/>
      <c r="I87" s="247"/>
      <c r="J87" s="247"/>
    </row>
    <row r="88" spans="1:10" ht="25.5" x14ac:dyDescent="0.25">
      <c r="A88" s="200" t="s">
        <v>216</v>
      </c>
      <c r="B88" s="201" t="s">
        <v>604</v>
      </c>
      <c r="C88" s="244" t="s">
        <v>6</v>
      </c>
      <c r="D88" s="245">
        <f>+'1.- datos aéreo'!O74</f>
        <v>0</v>
      </c>
      <c r="E88" s="245">
        <v>12</v>
      </c>
      <c r="F88" s="245">
        <f t="shared" si="42"/>
        <v>0</v>
      </c>
      <c r="G88" s="246">
        <f t="shared" si="43"/>
        <v>0</v>
      </c>
      <c r="H88" s="247"/>
      <c r="I88" s="247"/>
      <c r="J88" s="247"/>
    </row>
    <row r="89" spans="1:10" ht="25.5" x14ac:dyDescent="0.25">
      <c r="A89" s="200" t="s">
        <v>220</v>
      </c>
      <c r="B89" s="201" t="s">
        <v>605</v>
      </c>
      <c r="C89" s="244" t="s">
        <v>6</v>
      </c>
      <c r="D89" s="245">
        <f>+'1.- datos aéreo'!O75</f>
        <v>0</v>
      </c>
      <c r="E89" s="245">
        <f>+E88</f>
        <v>12</v>
      </c>
      <c r="F89" s="245">
        <f t="shared" si="42"/>
        <v>0</v>
      </c>
      <c r="G89" s="246">
        <f t="shared" si="43"/>
        <v>0</v>
      </c>
      <c r="H89" s="247"/>
      <c r="I89" s="247"/>
      <c r="J89" s="247"/>
    </row>
    <row r="90" spans="1:10" ht="25.5" x14ac:dyDescent="0.25">
      <c r="A90" s="200" t="s">
        <v>551</v>
      </c>
      <c r="B90" s="201" t="s">
        <v>606</v>
      </c>
      <c r="C90" s="244" t="s">
        <v>6</v>
      </c>
      <c r="D90" s="245">
        <f>+'1.- datos aéreo'!O76</f>
        <v>0</v>
      </c>
      <c r="E90" s="245">
        <f>+E89*2.1</f>
        <v>25.200000000000003</v>
      </c>
      <c r="F90" s="245">
        <f t="shared" si="42"/>
        <v>0</v>
      </c>
      <c r="G90" s="246">
        <f t="shared" si="43"/>
        <v>0</v>
      </c>
      <c r="H90" s="247"/>
      <c r="I90" s="247"/>
      <c r="J90" s="247"/>
    </row>
    <row r="91" spans="1:10" x14ac:dyDescent="0.25">
      <c r="A91" s="200" t="s">
        <v>552</v>
      </c>
      <c r="B91" s="201" t="s">
        <v>607</v>
      </c>
      <c r="C91" s="244" t="s">
        <v>6</v>
      </c>
      <c r="D91" s="245">
        <f>+'1.- datos aéreo'!O77</f>
        <v>0</v>
      </c>
      <c r="E91" s="245">
        <v>12</v>
      </c>
      <c r="F91" s="245">
        <f t="shared" si="42"/>
        <v>0</v>
      </c>
      <c r="G91" s="246">
        <f t="shared" si="43"/>
        <v>0</v>
      </c>
      <c r="H91" s="247"/>
      <c r="I91" s="247"/>
      <c r="J91" s="247"/>
    </row>
    <row r="92" spans="1:10" x14ac:dyDescent="0.25">
      <c r="A92" s="200" t="s">
        <v>553</v>
      </c>
      <c r="B92" s="201" t="s">
        <v>608</v>
      </c>
      <c r="C92" s="244" t="s">
        <v>6</v>
      </c>
      <c r="D92" s="245">
        <f>+'1.- datos aéreo'!O78</f>
        <v>0</v>
      </c>
      <c r="E92" s="245">
        <f>+E91</f>
        <v>12</v>
      </c>
      <c r="F92" s="245">
        <f t="shared" si="42"/>
        <v>0</v>
      </c>
      <c r="G92" s="246">
        <f t="shared" si="43"/>
        <v>0</v>
      </c>
      <c r="H92" s="247"/>
      <c r="I92" s="247"/>
      <c r="J92" s="247"/>
    </row>
    <row r="93" spans="1:10" x14ac:dyDescent="0.25">
      <c r="A93" s="200" t="s">
        <v>554</v>
      </c>
      <c r="B93" s="201" t="s">
        <v>609</v>
      </c>
      <c r="C93" s="244" t="s">
        <v>6</v>
      </c>
      <c r="D93" s="245">
        <f>+'1.- datos aéreo'!O79</f>
        <v>0</v>
      </c>
      <c r="E93" s="245">
        <v>11</v>
      </c>
      <c r="F93" s="245">
        <f t="shared" si="42"/>
        <v>0</v>
      </c>
      <c r="G93" s="246">
        <f t="shared" si="43"/>
        <v>0</v>
      </c>
      <c r="H93" s="247"/>
      <c r="I93" s="247"/>
      <c r="J93" s="247"/>
    </row>
    <row r="94" spans="1:10" x14ac:dyDescent="0.25">
      <c r="A94" s="200" t="s">
        <v>557</v>
      </c>
      <c r="B94" s="201" t="s">
        <v>610</v>
      </c>
      <c r="C94" s="244" t="s">
        <v>6</v>
      </c>
      <c r="D94" s="245">
        <f>+'1.- datos aéreo'!O80</f>
        <v>0</v>
      </c>
      <c r="E94" s="245">
        <f>+E93</f>
        <v>11</v>
      </c>
      <c r="F94" s="245">
        <f t="shared" si="42"/>
        <v>0</v>
      </c>
      <c r="G94" s="246">
        <f t="shared" si="43"/>
        <v>0</v>
      </c>
      <c r="H94" s="247"/>
      <c r="I94" s="247"/>
      <c r="J94" s="247"/>
    </row>
    <row r="95" spans="1:10" x14ac:dyDescent="0.25">
      <c r="A95" s="200" t="s">
        <v>558</v>
      </c>
      <c r="B95" s="201" t="s">
        <v>221</v>
      </c>
      <c r="C95" s="244" t="s">
        <v>6</v>
      </c>
      <c r="D95" s="245">
        <f>+'1.- datos aéreo'!O81</f>
        <v>0</v>
      </c>
      <c r="E95" s="245">
        <v>120</v>
      </c>
      <c r="F95" s="245">
        <f t="shared" si="42"/>
        <v>0</v>
      </c>
      <c r="G95" s="246">
        <f t="shared" si="43"/>
        <v>0</v>
      </c>
      <c r="H95" s="247"/>
      <c r="I95" s="247"/>
      <c r="J95" s="247"/>
    </row>
    <row r="96" spans="1:10" x14ac:dyDescent="0.25">
      <c r="A96" s="200" t="s">
        <v>561</v>
      </c>
      <c r="B96" s="201" t="s">
        <v>562</v>
      </c>
      <c r="C96" s="244" t="s">
        <v>6</v>
      </c>
      <c r="D96" s="245">
        <f>+'1.- datos aéreo'!O82</f>
        <v>0</v>
      </c>
      <c r="E96" s="245">
        <v>500</v>
      </c>
      <c r="F96" s="245">
        <f t="shared" si="42"/>
        <v>0</v>
      </c>
      <c r="G96" s="246">
        <f t="shared" si="43"/>
        <v>0</v>
      </c>
      <c r="H96" s="247"/>
      <c r="I96" s="247"/>
      <c r="J96" s="247"/>
    </row>
    <row r="97" spans="1:10" x14ac:dyDescent="0.25">
      <c r="A97" s="294" t="s">
        <v>78</v>
      </c>
      <c r="B97" s="294"/>
      <c r="C97" s="294"/>
      <c r="D97" s="294"/>
      <c r="E97" s="294"/>
      <c r="F97" s="248">
        <f>SUM(F63:F96)</f>
        <v>0</v>
      </c>
      <c r="G97" s="241"/>
    </row>
    <row r="98" spans="1:10" x14ac:dyDescent="0.25">
      <c r="A98" s="299"/>
      <c r="B98" s="299"/>
      <c r="C98" s="299"/>
      <c r="D98" s="299"/>
      <c r="E98" s="299"/>
      <c r="F98" s="299"/>
      <c r="G98" s="246"/>
      <c r="H98" s="246"/>
      <c r="I98" s="246"/>
      <c r="J98" s="246"/>
    </row>
    <row r="99" spans="1:10" x14ac:dyDescent="0.25">
      <c r="A99" s="300" t="s">
        <v>228</v>
      </c>
      <c r="B99" s="300"/>
      <c r="C99" s="300"/>
      <c r="D99" s="300"/>
      <c r="E99" s="300"/>
      <c r="F99" s="300"/>
      <c r="G99" s="246"/>
      <c r="H99" s="246"/>
      <c r="I99" s="246"/>
      <c r="J99" s="246"/>
    </row>
    <row r="100" spans="1:10" x14ac:dyDescent="0.25">
      <c r="A100" s="242" t="s">
        <v>124</v>
      </c>
      <c r="B100" s="242" t="s">
        <v>0</v>
      </c>
      <c r="C100" s="36" t="s">
        <v>1</v>
      </c>
      <c r="D100" s="36" t="s">
        <v>2</v>
      </c>
      <c r="E100" s="36" t="s">
        <v>74</v>
      </c>
      <c r="F100" s="36" t="s">
        <v>3</v>
      </c>
      <c r="G100" s="246"/>
      <c r="H100" s="246"/>
      <c r="I100" s="246"/>
      <c r="J100" s="246"/>
    </row>
    <row r="101" spans="1:10" ht="25.5" x14ac:dyDescent="0.25">
      <c r="A101" s="200" t="s">
        <v>167</v>
      </c>
      <c r="B101" s="201" t="str">
        <f>+B63</f>
        <v>Apoyo metálico de celosía de acero galvanizados.</v>
      </c>
      <c r="C101" s="244" t="s">
        <v>514</v>
      </c>
      <c r="D101" s="245">
        <f>+D63</f>
        <v>0</v>
      </c>
      <c r="E101" s="245">
        <v>200</v>
      </c>
      <c r="F101" s="245">
        <f>D101*E101</f>
        <v>0</v>
      </c>
      <c r="G101" s="246">
        <f t="shared" ref="G101:G134" si="44">+D101-SUM(H101:J101)</f>
        <v>0</v>
      </c>
      <c r="H101" s="247">
        <f>+H63</f>
        <v>0</v>
      </c>
      <c r="I101" s="247">
        <f t="shared" ref="I101:J101" si="45">+I63</f>
        <v>0</v>
      </c>
      <c r="J101" s="247">
        <f t="shared" si="45"/>
        <v>0</v>
      </c>
    </row>
    <row r="102" spans="1:10" x14ac:dyDescent="0.25">
      <c r="A102" s="200" t="s">
        <v>192</v>
      </c>
      <c r="B102" s="201" t="str">
        <f t="shared" ref="B102:B132" si="46">+B64</f>
        <v>Conductor tipo LA280 cctos 30 kV</v>
      </c>
      <c r="C102" s="244" t="str">
        <f t="shared" ref="C102:C125" si="47">+C64</f>
        <v>kg</v>
      </c>
      <c r="D102" s="245">
        <f t="shared" ref="D102:D134" si="48">+D64</f>
        <v>0</v>
      </c>
      <c r="E102" s="245">
        <v>1.3</v>
      </c>
      <c r="F102" s="245">
        <f t="shared" ref="F102:F134" si="49">D102*E102</f>
        <v>0</v>
      </c>
      <c r="G102" s="246">
        <f t="shared" si="44"/>
        <v>0</v>
      </c>
      <c r="H102" s="247">
        <f t="shared" ref="H102:J102" si="50">+H64</f>
        <v>0</v>
      </c>
      <c r="I102" s="247">
        <f t="shared" si="50"/>
        <v>0</v>
      </c>
      <c r="J102" s="247">
        <f t="shared" si="50"/>
        <v>0</v>
      </c>
    </row>
    <row r="103" spans="1:10" x14ac:dyDescent="0.25">
      <c r="A103" s="200" t="s">
        <v>193</v>
      </c>
      <c r="B103" s="201" t="str">
        <f t="shared" si="46"/>
        <v>Conductor tipo LA280 cctos 220 kV</v>
      </c>
      <c r="C103" s="244" t="str">
        <f t="shared" si="47"/>
        <v>kg</v>
      </c>
      <c r="D103" s="245">
        <f t="shared" si="48"/>
        <v>0</v>
      </c>
      <c r="E103" s="245">
        <f>+E102</f>
        <v>1.3</v>
      </c>
      <c r="F103" s="245">
        <f t="shared" si="49"/>
        <v>0</v>
      </c>
      <c r="G103" s="246">
        <f t="shared" si="44"/>
        <v>0</v>
      </c>
      <c r="H103" s="247">
        <f t="shared" ref="H103:J103" si="51">+H65</f>
        <v>0</v>
      </c>
      <c r="I103" s="247">
        <f t="shared" si="51"/>
        <v>0</v>
      </c>
      <c r="J103" s="247">
        <f t="shared" si="51"/>
        <v>0</v>
      </c>
    </row>
    <row r="104" spans="1:10" x14ac:dyDescent="0.25">
      <c r="A104" s="200" t="s">
        <v>194</v>
      </c>
      <c r="B104" s="201" t="str">
        <f t="shared" si="46"/>
        <v>Conductor tipo LA510 cctos 220 kV</v>
      </c>
      <c r="C104" s="244" t="str">
        <f t="shared" si="47"/>
        <v>kg</v>
      </c>
      <c r="D104" s="245">
        <f t="shared" si="48"/>
        <v>0</v>
      </c>
      <c r="E104" s="245">
        <f>+E103*1.6</f>
        <v>2.08</v>
      </c>
      <c r="F104" s="245">
        <f t="shared" si="49"/>
        <v>0</v>
      </c>
      <c r="G104" s="246">
        <f t="shared" si="44"/>
        <v>0</v>
      </c>
      <c r="H104" s="247">
        <f t="shared" ref="H104:J104" si="52">+H66</f>
        <v>0</v>
      </c>
      <c r="I104" s="247">
        <f t="shared" si="52"/>
        <v>0</v>
      </c>
      <c r="J104" s="247">
        <f t="shared" si="52"/>
        <v>0</v>
      </c>
    </row>
    <row r="105" spans="1:10" x14ac:dyDescent="0.25">
      <c r="A105" s="200" t="s">
        <v>195</v>
      </c>
      <c r="B105" s="201" t="str">
        <f t="shared" si="46"/>
        <v>Cable compuesto OPGW cctos 30 kV</v>
      </c>
      <c r="C105" s="244" t="str">
        <f t="shared" si="47"/>
        <v>m</v>
      </c>
      <c r="D105" s="245">
        <f t="shared" si="48"/>
        <v>0</v>
      </c>
      <c r="E105" s="245">
        <v>2.5</v>
      </c>
      <c r="F105" s="245">
        <f t="shared" si="49"/>
        <v>0</v>
      </c>
      <c r="G105" s="246">
        <f t="shared" si="44"/>
        <v>0</v>
      </c>
      <c r="H105" s="247">
        <f t="shared" ref="H105:J105" si="53">+H67</f>
        <v>0</v>
      </c>
      <c r="I105" s="247">
        <f t="shared" si="53"/>
        <v>0</v>
      </c>
      <c r="J105" s="247">
        <f t="shared" si="53"/>
        <v>0</v>
      </c>
    </row>
    <row r="106" spans="1:10" x14ac:dyDescent="0.25">
      <c r="A106" s="200" t="s">
        <v>196</v>
      </c>
      <c r="B106" s="201" t="str">
        <f t="shared" si="46"/>
        <v>Cable compuesto OPGW cctos 220 kV</v>
      </c>
      <c r="C106" s="244" t="str">
        <f t="shared" si="47"/>
        <v>m</v>
      </c>
      <c r="D106" s="245">
        <f t="shared" si="48"/>
        <v>0</v>
      </c>
      <c r="E106" s="245">
        <f>+E105</f>
        <v>2.5</v>
      </c>
      <c r="F106" s="245">
        <f t="shared" si="49"/>
        <v>0</v>
      </c>
      <c r="G106" s="246">
        <f t="shared" si="44"/>
        <v>0</v>
      </c>
      <c r="H106" s="247">
        <f t="shared" ref="H106:J106" si="54">+H68</f>
        <v>0</v>
      </c>
      <c r="I106" s="247">
        <f t="shared" si="54"/>
        <v>0</v>
      </c>
      <c r="J106" s="247">
        <f t="shared" si="54"/>
        <v>0</v>
      </c>
    </row>
    <row r="107" spans="1:10" ht="25.5" x14ac:dyDescent="0.25">
      <c r="A107" s="200" t="s">
        <v>197</v>
      </c>
      <c r="B107" s="201" t="str">
        <f t="shared" si="46"/>
        <v>Aislador Composite ccto 30 kV DX LA280</v>
      </c>
      <c r="C107" s="244" t="str">
        <f t="shared" si="47"/>
        <v>ud</v>
      </c>
      <c r="D107" s="245">
        <f t="shared" si="48"/>
        <v>0</v>
      </c>
      <c r="E107" s="245">
        <v>43</v>
      </c>
      <c r="F107" s="245">
        <f t="shared" si="49"/>
        <v>0</v>
      </c>
      <c r="G107" s="246">
        <f t="shared" si="44"/>
        <v>0</v>
      </c>
      <c r="H107" s="247">
        <f t="shared" ref="H107:J107" si="55">+H69</f>
        <v>0</v>
      </c>
      <c r="I107" s="247">
        <f t="shared" si="55"/>
        <v>0</v>
      </c>
      <c r="J107" s="247">
        <f t="shared" si="55"/>
        <v>0</v>
      </c>
    </row>
    <row r="108" spans="1:10" ht="38.25" x14ac:dyDescent="0.25">
      <c r="A108" s="200" t="s">
        <v>198</v>
      </c>
      <c r="B108" s="201" t="str">
        <f t="shared" si="46"/>
        <v>Aislador Composite ccto 30 kV DX LA280 en apoyos compartidos 220 kV-ap06-08-14</v>
      </c>
      <c r="C108" s="244" t="str">
        <f t="shared" si="47"/>
        <v>ud</v>
      </c>
      <c r="D108" s="245">
        <f t="shared" si="48"/>
        <v>0</v>
      </c>
      <c r="E108" s="245">
        <f>+E107*1.1</f>
        <v>47.300000000000004</v>
      </c>
      <c r="F108" s="245">
        <f t="shared" si="49"/>
        <v>0</v>
      </c>
      <c r="G108" s="246">
        <f t="shared" si="44"/>
        <v>0</v>
      </c>
      <c r="H108" s="247">
        <f t="shared" ref="H108:J108" si="56">+H70</f>
        <v>0</v>
      </c>
      <c r="I108" s="247">
        <f t="shared" si="56"/>
        <v>0</v>
      </c>
      <c r="J108" s="247">
        <f t="shared" si="56"/>
        <v>0</v>
      </c>
    </row>
    <row r="109" spans="1:10" ht="25.5" x14ac:dyDescent="0.25">
      <c r="A109" s="200" t="s">
        <v>199</v>
      </c>
      <c r="B109" s="201" t="str">
        <f t="shared" si="46"/>
        <v>Aislador Composite ccto 220 kV DX LA280</v>
      </c>
      <c r="C109" s="244" t="str">
        <f t="shared" si="47"/>
        <v>ud</v>
      </c>
      <c r="D109" s="245">
        <f t="shared" si="48"/>
        <v>0</v>
      </c>
      <c r="E109" s="245">
        <f>+E108*1.1</f>
        <v>52.030000000000008</v>
      </c>
      <c r="F109" s="245">
        <f t="shared" si="49"/>
        <v>0</v>
      </c>
      <c r="G109" s="246">
        <f t="shared" si="44"/>
        <v>0</v>
      </c>
      <c r="H109" s="247">
        <f t="shared" ref="H109:J109" si="57">+H71</f>
        <v>0</v>
      </c>
      <c r="I109" s="247">
        <f t="shared" si="57"/>
        <v>0</v>
      </c>
      <c r="J109" s="247">
        <f t="shared" si="57"/>
        <v>0</v>
      </c>
    </row>
    <row r="110" spans="1:10" ht="25.5" x14ac:dyDescent="0.25">
      <c r="A110" s="200" t="s">
        <v>200</v>
      </c>
      <c r="B110" s="201" t="str">
        <f t="shared" si="46"/>
        <v>Aislador Composite ccto 220 kV TX LA510</v>
      </c>
      <c r="C110" s="244" t="str">
        <f t="shared" si="47"/>
        <v>ud</v>
      </c>
      <c r="D110" s="245">
        <f t="shared" si="48"/>
        <v>0</v>
      </c>
      <c r="E110" s="245">
        <f>+E109*1.3</f>
        <v>67.63900000000001</v>
      </c>
      <c r="F110" s="245">
        <f t="shared" si="49"/>
        <v>0</v>
      </c>
      <c r="G110" s="246">
        <f t="shared" si="44"/>
        <v>0</v>
      </c>
      <c r="H110" s="247">
        <f t="shared" ref="H110:J110" si="58">+H72</f>
        <v>0</v>
      </c>
      <c r="I110" s="247">
        <f t="shared" si="58"/>
        <v>0</v>
      </c>
      <c r="J110" s="247">
        <f t="shared" si="58"/>
        <v>0</v>
      </c>
    </row>
    <row r="111" spans="1:10" ht="25.5" x14ac:dyDescent="0.25">
      <c r="A111" s="200" t="s">
        <v>201</v>
      </c>
      <c r="B111" s="201" t="str">
        <f t="shared" si="46"/>
        <v>Cadena suspensión ccto 30 kV DX LA280</v>
      </c>
      <c r="C111" s="244" t="str">
        <f t="shared" si="47"/>
        <v>ud</v>
      </c>
      <c r="D111" s="245">
        <f t="shared" si="48"/>
        <v>0</v>
      </c>
      <c r="E111" s="245">
        <v>170</v>
      </c>
      <c r="F111" s="245">
        <f t="shared" si="49"/>
        <v>0</v>
      </c>
      <c r="G111" s="246">
        <f t="shared" si="44"/>
        <v>0</v>
      </c>
      <c r="H111" s="247">
        <f t="shared" ref="H111:J111" si="59">+H73</f>
        <v>0</v>
      </c>
      <c r="I111" s="247">
        <f t="shared" si="59"/>
        <v>0</v>
      </c>
      <c r="J111" s="247">
        <f t="shared" si="59"/>
        <v>0</v>
      </c>
    </row>
    <row r="112" spans="1:10" ht="38.25" x14ac:dyDescent="0.25">
      <c r="A112" s="200" t="s">
        <v>202</v>
      </c>
      <c r="B112" s="201" t="str">
        <f t="shared" si="46"/>
        <v>Cadena suspensión ccto 30 kV DX LA280 en apoyos compartidos 220 kV-ap06-08-14</v>
      </c>
      <c r="C112" s="244" t="str">
        <f t="shared" si="47"/>
        <v>ud</v>
      </c>
      <c r="D112" s="245">
        <f t="shared" si="48"/>
        <v>0</v>
      </c>
      <c r="E112" s="245">
        <f>+E111*1.1</f>
        <v>187.00000000000003</v>
      </c>
      <c r="F112" s="245">
        <f t="shared" si="49"/>
        <v>0</v>
      </c>
      <c r="G112" s="246">
        <f t="shared" si="44"/>
        <v>0</v>
      </c>
      <c r="H112" s="247">
        <f t="shared" ref="H112:J112" si="60">+H74</f>
        <v>0</v>
      </c>
      <c r="I112" s="247">
        <f t="shared" si="60"/>
        <v>0</v>
      </c>
      <c r="J112" s="247">
        <f t="shared" si="60"/>
        <v>0</v>
      </c>
    </row>
    <row r="113" spans="1:10" ht="25.5" x14ac:dyDescent="0.25">
      <c r="A113" s="200" t="s">
        <v>203</v>
      </c>
      <c r="B113" s="201" t="str">
        <f t="shared" si="46"/>
        <v>Cadena suspensión ccto 220 kV DX LA280</v>
      </c>
      <c r="C113" s="244" t="str">
        <f t="shared" si="47"/>
        <v>ud</v>
      </c>
      <c r="D113" s="245">
        <f t="shared" si="48"/>
        <v>0</v>
      </c>
      <c r="E113" s="245">
        <f>+E112*1.1</f>
        <v>205.70000000000005</v>
      </c>
      <c r="F113" s="245">
        <f t="shared" si="49"/>
        <v>0</v>
      </c>
      <c r="G113" s="246">
        <f t="shared" si="44"/>
        <v>0</v>
      </c>
      <c r="H113" s="247">
        <f t="shared" ref="H113:J113" si="61">+H75</f>
        <v>0</v>
      </c>
      <c r="I113" s="247">
        <f t="shared" si="61"/>
        <v>0</v>
      </c>
      <c r="J113" s="247">
        <f t="shared" si="61"/>
        <v>0</v>
      </c>
    </row>
    <row r="114" spans="1:10" ht="25.5" x14ac:dyDescent="0.25">
      <c r="A114" s="200" t="s">
        <v>204</v>
      </c>
      <c r="B114" s="201" t="str">
        <f t="shared" si="46"/>
        <v>Cadena suspensión ccto 220 kV TX LA510</v>
      </c>
      <c r="C114" s="244" t="str">
        <f t="shared" si="47"/>
        <v>ud</v>
      </c>
      <c r="D114" s="245">
        <f t="shared" si="48"/>
        <v>0</v>
      </c>
      <c r="E114" s="245">
        <f>+E113*1.3</f>
        <v>267.41000000000008</v>
      </c>
      <c r="F114" s="245">
        <f t="shared" si="49"/>
        <v>0</v>
      </c>
      <c r="G114" s="246">
        <f t="shared" si="44"/>
        <v>0</v>
      </c>
      <c r="H114" s="247">
        <f t="shared" ref="H114:J114" si="62">+H76</f>
        <v>0</v>
      </c>
      <c r="I114" s="247">
        <f t="shared" si="62"/>
        <v>0</v>
      </c>
      <c r="J114" s="247">
        <f t="shared" si="62"/>
        <v>0</v>
      </c>
    </row>
    <row r="115" spans="1:10" x14ac:dyDescent="0.25">
      <c r="A115" s="200" t="s">
        <v>205</v>
      </c>
      <c r="B115" s="201" t="str">
        <f t="shared" si="46"/>
        <v>Cadena amarre ccto 30 kV DX LA280</v>
      </c>
      <c r="C115" s="244" t="str">
        <f t="shared" si="47"/>
        <v>ud</v>
      </c>
      <c r="D115" s="245">
        <f t="shared" si="48"/>
        <v>0</v>
      </c>
      <c r="E115" s="245">
        <v>385</v>
      </c>
      <c r="F115" s="245">
        <f t="shared" si="49"/>
        <v>0</v>
      </c>
      <c r="G115" s="246">
        <f t="shared" si="44"/>
        <v>0</v>
      </c>
      <c r="H115" s="247">
        <f t="shared" ref="H115:J115" si="63">+H77</f>
        <v>0</v>
      </c>
      <c r="I115" s="247">
        <f t="shared" si="63"/>
        <v>0</v>
      </c>
      <c r="J115" s="247">
        <f t="shared" si="63"/>
        <v>0</v>
      </c>
    </row>
    <row r="116" spans="1:10" ht="38.25" x14ac:dyDescent="0.25">
      <c r="A116" s="200" t="s">
        <v>206</v>
      </c>
      <c r="B116" s="201" t="str">
        <f t="shared" si="46"/>
        <v>Cadena amarre ccto 30 kV DX LA280 en apoyos compartidos 220 kV-ap06-08-14</v>
      </c>
      <c r="C116" s="244" t="str">
        <f t="shared" si="47"/>
        <v>ud</v>
      </c>
      <c r="D116" s="245">
        <f t="shared" si="48"/>
        <v>0</v>
      </c>
      <c r="E116" s="245">
        <f>+E115*1.1</f>
        <v>423.50000000000006</v>
      </c>
      <c r="F116" s="245">
        <f t="shared" si="49"/>
        <v>0</v>
      </c>
      <c r="G116" s="246">
        <f t="shared" si="44"/>
        <v>0</v>
      </c>
      <c r="H116" s="247">
        <f t="shared" ref="H116:J116" si="64">+H78</f>
        <v>0</v>
      </c>
      <c r="I116" s="247">
        <f t="shared" si="64"/>
        <v>0</v>
      </c>
      <c r="J116" s="247">
        <f t="shared" si="64"/>
        <v>0</v>
      </c>
    </row>
    <row r="117" spans="1:10" x14ac:dyDescent="0.25">
      <c r="A117" s="200" t="s">
        <v>207</v>
      </c>
      <c r="B117" s="201" t="str">
        <f t="shared" si="46"/>
        <v>Cadena amarre ccto 220 kV DX LA280</v>
      </c>
      <c r="C117" s="244" t="str">
        <f t="shared" si="47"/>
        <v>ud</v>
      </c>
      <c r="D117" s="245">
        <f t="shared" si="48"/>
        <v>0</v>
      </c>
      <c r="E117" s="245">
        <f>+E116*1.1</f>
        <v>465.85000000000008</v>
      </c>
      <c r="F117" s="245">
        <f t="shared" si="49"/>
        <v>0</v>
      </c>
      <c r="G117" s="246">
        <f t="shared" si="44"/>
        <v>0</v>
      </c>
      <c r="H117" s="247">
        <f t="shared" ref="H117:J117" si="65">+H79</f>
        <v>0</v>
      </c>
      <c r="I117" s="247">
        <f t="shared" si="65"/>
        <v>0</v>
      </c>
      <c r="J117" s="247">
        <f t="shared" si="65"/>
        <v>0</v>
      </c>
    </row>
    <row r="118" spans="1:10" x14ac:dyDescent="0.25">
      <c r="A118" s="200" t="s">
        <v>208</v>
      </c>
      <c r="B118" s="201" t="str">
        <f t="shared" si="46"/>
        <v>Cadena amarre ccto 220 kV TX LA510</v>
      </c>
      <c r="C118" s="244" t="str">
        <f t="shared" si="47"/>
        <v>ud</v>
      </c>
      <c r="D118" s="245">
        <f t="shared" si="48"/>
        <v>0</v>
      </c>
      <c r="E118" s="245">
        <f>+E117*1.3</f>
        <v>605.60500000000013</v>
      </c>
      <c r="F118" s="245">
        <f t="shared" si="49"/>
        <v>0</v>
      </c>
      <c r="G118" s="246">
        <f t="shared" si="44"/>
        <v>0</v>
      </c>
      <c r="H118" s="247">
        <f t="shared" ref="H118:J118" si="66">+H80</f>
        <v>0</v>
      </c>
      <c r="I118" s="247">
        <f t="shared" si="66"/>
        <v>0</v>
      </c>
      <c r="J118" s="247">
        <f t="shared" si="66"/>
        <v>0</v>
      </c>
    </row>
    <row r="119" spans="1:10" ht="25.5" x14ac:dyDescent="0.25">
      <c r="A119" s="200" t="s">
        <v>209</v>
      </c>
      <c r="B119" s="201" t="str">
        <f t="shared" si="46"/>
        <v>Cadena suspensión OPGW ccto 30 kV DX LA280</v>
      </c>
      <c r="C119" s="244" t="str">
        <f t="shared" si="47"/>
        <v>ud</v>
      </c>
      <c r="D119" s="245">
        <f t="shared" si="48"/>
        <v>0</v>
      </c>
      <c r="E119" s="245">
        <v>120</v>
      </c>
      <c r="F119" s="245">
        <f t="shared" si="49"/>
        <v>0</v>
      </c>
      <c r="G119" s="246">
        <f t="shared" si="44"/>
        <v>0</v>
      </c>
      <c r="H119" s="247">
        <f t="shared" ref="H119:J119" si="67">+H81</f>
        <v>0</v>
      </c>
      <c r="I119" s="247">
        <f t="shared" si="67"/>
        <v>0</v>
      </c>
      <c r="J119" s="247">
        <f t="shared" si="67"/>
        <v>0</v>
      </c>
    </row>
    <row r="120" spans="1:10" ht="25.5" x14ac:dyDescent="0.25">
      <c r="A120" s="200" t="s">
        <v>210</v>
      </c>
      <c r="B120" s="201" t="str">
        <f t="shared" si="46"/>
        <v>Cadena suspensión OPGW ccto 220 kV DX LA280</v>
      </c>
      <c r="C120" s="244" t="str">
        <f t="shared" si="47"/>
        <v>ud</v>
      </c>
      <c r="D120" s="245">
        <f t="shared" si="48"/>
        <v>0</v>
      </c>
      <c r="E120" s="245">
        <f>+E119</f>
        <v>120</v>
      </c>
      <c r="F120" s="245">
        <f t="shared" si="49"/>
        <v>0</v>
      </c>
      <c r="G120" s="246">
        <f t="shared" si="44"/>
        <v>0</v>
      </c>
      <c r="H120" s="247">
        <f t="shared" ref="H120:J120" si="68">+H82</f>
        <v>0</v>
      </c>
      <c r="I120" s="247">
        <f t="shared" si="68"/>
        <v>0</v>
      </c>
      <c r="J120" s="247">
        <f t="shared" si="68"/>
        <v>0</v>
      </c>
    </row>
    <row r="121" spans="1:10" ht="25.5" x14ac:dyDescent="0.25">
      <c r="A121" s="200" t="s">
        <v>211</v>
      </c>
      <c r="B121" s="201" t="str">
        <f t="shared" si="46"/>
        <v>Cadena suspensión OPGW ccto 220 kV TX LA510</v>
      </c>
      <c r="C121" s="244" t="str">
        <f t="shared" si="47"/>
        <v>ud</v>
      </c>
      <c r="D121" s="245">
        <f t="shared" si="48"/>
        <v>0</v>
      </c>
      <c r="E121" s="245">
        <f>+E120</f>
        <v>120</v>
      </c>
      <c r="F121" s="245">
        <f t="shared" si="49"/>
        <v>0</v>
      </c>
      <c r="G121" s="246">
        <f t="shared" si="44"/>
        <v>0</v>
      </c>
      <c r="H121" s="247">
        <f t="shared" ref="H121:J121" si="69">+H83</f>
        <v>0</v>
      </c>
      <c r="I121" s="247">
        <f t="shared" si="69"/>
        <v>0</v>
      </c>
      <c r="J121" s="247">
        <f t="shared" si="69"/>
        <v>0</v>
      </c>
    </row>
    <row r="122" spans="1:10" ht="25.5" x14ac:dyDescent="0.25">
      <c r="A122" s="200" t="s">
        <v>212</v>
      </c>
      <c r="B122" s="201" t="str">
        <f t="shared" si="46"/>
        <v>Cadena amarre OPGW ccto 30 kV DX LA280</v>
      </c>
      <c r="C122" s="244" t="str">
        <f t="shared" si="47"/>
        <v>ud</v>
      </c>
      <c r="D122" s="245">
        <f t="shared" si="48"/>
        <v>0</v>
      </c>
      <c r="E122" s="245">
        <f>+E119*1.3</f>
        <v>156</v>
      </c>
      <c r="F122" s="245">
        <f t="shared" si="49"/>
        <v>0</v>
      </c>
      <c r="G122" s="246">
        <f t="shared" si="44"/>
        <v>0</v>
      </c>
      <c r="H122" s="247">
        <f t="shared" ref="H122:J122" si="70">+H84</f>
        <v>0</v>
      </c>
      <c r="I122" s="247">
        <f t="shared" si="70"/>
        <v>0</v>
      </c>
      <c r="J122" s="247">
        <f t="shared" si="70"/>
        <v>0</v>
      </c>
    </row>
    <row r="123" spans="1:10" ht="25.5" x14ac:dyDescent="0.25">
      <c r="A123" s="200" t="s">
        <v>213</v>
      </c>
      <c r="B123" s="201" t="str">
        <f t="shared" si="46"/>
        <v>Cadena amarre OPGW ccto 220 kV DX LA280</v>
      </c>
      <c r="C123" s="244" t="str">
        <f t="shared" si="47"/>
        <v>ud</v>
      </c>
      <c r="D123" s="245">
        <f t="shared" si="48"/>
        <v>0</v>
      </c>
      <c r="E123" s="245">
        <f>+E122</f>
        <v>156</v>
      </c>
      <c r="F123" s="245">
        <f t="shared" si="49"/>
        <v>0</v>
      </c>
      <c r="G123" s="246">
        <f t="shared" si="44"/>
        <v>0</v>
      </c>
      <c r="H123" s="247">
        <f t="shared" ref="H123:J123" si="71">+H85</f>
        <v>0</v>
      </c>
      <c r="I123" s="247">
        <f t="shared" si="71"/>
        <v>0</v>
      </c>
      <c r="J123" s="247">
        <f t="shared" si="71"/>
        <v>0</v>
      </c>
    </row>
    <row r="124" spans="1:10" ht="25.5" x14ac:dyDescent="0.25">
      <c r="A124" s="200" t="s">
        <v>214</v>
      </c>
      <c r="B124" s="201" t="str">
        <f t="shared" si="46"/>
        <v>Cadena amarre OPGW ccto 220 kV TX LA510</v>
      </c>
      <c r="C124" s="244" t="str">
        <f t="shared" si="47"/>
        <v>ud</v>
      </c>
      <c r="D124" s="245">
        <f t="shared" si="48"/>
        <v>0</v>
      </c>
      <c r="E124" s="245">
        <f>+E123</f>
        <v>156</v>
      </c>
      <c r="F124" s="245">
        <f t="shared" si="49"/>
        <v>0</v>
      </c>
      <c r="G124" s="246">
        <f t="shared" si="44"/>
        <v>0</v>
      </c>
      <c r="H124" s="247">
        <f t="shared" ref="H124:J124" si="72">+H86</f>
        <v>0</v>
      </c>
      <c r="I124" s="247">
        <f t="shared" si="72"/>
        <v>0</v>
      </c>
      <c r="J124" s="247">
        <f t="shared" si="72"/>
        <v>0</v>
      </c>
    </row>
    <row r="125" spans="1:10" x14ac:dyDescent="0.25">
      <c r="A125" s="200" t="s">
        <v>215</v>
      </c>
      <c r="B125" s="201" t="str">
        <f t="shared" si="46"/>
        <v>Placa Riesgo Eléctrico y señalización</v>
      </c>
      <c r="C125" s="244" t="str">
        <f t="shared" si="47"/>
        <v>ud</v>
      </c>
      <c r="D125" s="245">
        <f t="shared" si="48"/>
        <v>0</v>
      </c>
      <c r="E125" s="245">
        <v>20</v>
      </c>
      <c r="F125" s="245">
        <f t="shared" si="49"/>
        <v>0</v>
      </c>
      <c r="G125" s="246">
        <f t="shared" si="44"/>
        <v>0</v>
      </c>
      <c r="H125" s="247">
        <f t="shared" ref="H125:J125" si="73">+H87</f>
        <v>0</v>
      </c>
      <c r="I125" s="247">
        <f t="shared" si="73"/>
        <v>0</v>
      </c>
      <c r="J125" s="247">
        <f t="shared" si="73"/>
        <v>0</v>
      </c>
    </row>
    <row r="126" spans="1:10" ht="25.5" x14ac:dyDescent="0.25">
      <c r="A126" s="200" t="s">
        <v>216</v>
      </c>
      <c r="B126" s="201" t="str">
        <f t="shared" si="46"/>
        <v>Amortiguador separador conductor tipo LA280 cctos 30 kV</v>
      </c>
      <c r="C126" s="244" t="str">
        <f t="shared" ref="C126" si="74">+C88</f>
        <v>ud</v>
      </c>
      <c r="D126" s="245">
        <f t="shared" si="48"/>
        <v>0</v>
      </c>
      <c r="E126" s="245">
        <f>+E88*1.4</f>
        <v>16.799999999999997</v>
      </c>
      <c r="F126" s="245">
        <f t="shared" si="49"/>
        <v>0</v>
      </c>
      <c r="G126" s="246">
        <f t="shared" si="44"/>
        <v>0</v>
      </c>
      <c r="H126" s="247">
        <f t="shared" ref="H126:J126" si="75">+H88</f>
        <v>0</v>
      </c>
      <c r="I126" s="247">
        <f t="shared" si="75"/>
        <v>0</v>
      </c>
      <c r="J126" s="247">
        <f t="shared" si="75"/>
        <v>0</v>
      </c>
    </row>
    <row r="127" spans="1:10" ht="25.5" x14ac:dyDescent="0.25">
      <c r="A127" s="200" t="s">
        <v>220</v>
      </c>
      <c r="B127" s="201" t="str">
        <f>+B89</f>
        <v>Amortiguador separador conducto tipo LA280 cctos 220 kV</v>
      </c>
      <c r="C127" s="244" t="str">
        <f t="shared" ref="C127" si="76">+C89</f>
        <v>ud</v>
      </c>
      <c r="D127" s="245">
        <f t="shared" si="48"/>
        <v>0</v>
      </c>
      <c r="E127" s="245">
        <f t="shared" ref="E127:E132" si="77">+E89*1.4</f>
        <v>16.799999999999997</v>
      </c>
      <c r="F127" s="245">
        <f t="shared" si="49"/>
        <v>0</v>
      </c>
      <c r="G127" s="246">
        <f t="shared" si="44"/>
        <v>0</v>
      </c>
      <c r="H127" s="247">
        <f t="shared" ref="H127:J127" si="78">+H89</f>
        <v>0</v>
      </c>
      <c r="I127" s="247">
        <f t="shared" si="78"/>
        <v>0</v>
      </c>
      <c r="J127" s="247">
        <f t="shared" si="78"/>
        <v>0</v>
      </c>
    </row>
    <row r="128" spans="1:10" ht="25.5" x14ac:dyDescent="0.25">
      <c r="A128" s="200" t="s">
        <v>551</v>
      </c>
      <c r="B128" s="201" t="str">
        <f t="shared" si="46"/>
        <v>Amortiguador separador conductor tipo LA510 cctos 220 kV</v>
      </c>
      <c r="C128" s="244" t="str">
        <f t="shared" ref="C128" si="79">+C92</f>
        <v>ud</v>
      </c>
      <c r="D128" s="245">
        <f t="shared" si="48"/>
        <v>0</v>
      </c>
      <c r="E128" s="245">
        <f t="shared" si="77"/>
        <v>35.28</v>
      </c>
      <c r="F128" s="245">
        <f t="shared" si="49"/>
        <v>0</v>
      </c>
      <c r="G128" s="246">
        <f t="shared" si="44"/>
        <v>0</v>
      </c>
      <c r="H128" s="247">
        <f t="shared" ref="H128:J128" si="80">+H90</f>
        <v>0</v>
      </c>
      <c r="I128" s="247">
        <f t="shared" si="80"/>
        <v>0</v>
      </c>
      <c r="J128" s="247">
        <f t="shared" si="80"/>
        <v>0</v>
      </c>
    </row>
    <row r="129" spans="1:10" x14ac:dyDescent="0.25">
      <c r="A129" s="200" t="s">
        <v>552</v>
      </c>
      <c r="B129" s="201" t="str">
        <f>+B91</f>
        <v>Amortiguador OPGW ccto 30 kV</v>
      </c>
      <c r="C129" s="244" t="str">
        <f t="shared" ref="C129" si="81">+C93</f>
        <v>ud</v>
      </c>
      <c r="D129" s="245">
        <f t="shared" si="48"/>
        <v>0</v>
      </c>
      <c r="E129" s="245">
        <f t="shared" si="77"/>
        <v>16.799999999999997</v>
      </c>
      <c r="F129" s="245">
        <f t="shared" si="49"/>
        <v>0</v>
      </c>
      <c r="G129" s="246">
        <f t="shared" si="44"/>
        <v>0</v>
      </c>
      <c r="H129" s="247">
        <f t="shared" ref="H129:J129" si="82">+H91</f>
        <v>0</v>
      </c>
      <c r="I129" s="247">
        <f t="shared" si="82"/>
        <v>0</v>
      </c>
      <c r="J129" s="247">
        <f t="shared" si="82"/>
        <v>0</v>
      </c>
    </row>
    <row r="130" spans="1:10" x14ac:dyDescent="0.25">
      <c r="A130" s="200" t="s">
        <v>553</v>
      </c>
      <c r="B130" s="201" t="str">
        <f t="shared" si="46"/>
        <v>Amortiguador OPGW ccto 220 kV</v>
      </c>
      <c r="C130" s="244" t="str">
        <f t="shared" ref="C130" si="83">+C94</f>
        <v>ud</v>
      </c>
      <c r="D130" s="245">
        <f t="shared" si="48"/>
        <v>0</v>
      </c>
      <c r="E130" s="245">
        <f t="shared" si="77"/>
        <v>16.799999999999997</v>
      </c>
      <c r="F130" s="245">
        <f t="shared" si="49"/>
        <v>0</v>
      </c>
      <c r="G130" s="246">
        <f t="shared" si="44"/>
        <v>0</v>
      </c>
      <c r="H130" s="247">
        <f t="shared" ref="H130:J130" si="84">+H92</f>
        <v>0</v>
      </c>
      <c r="I130" s="247">
        <f t="shared" si="84"/>
        <v>0</v>
      </c>
      <c r="J130" s="247">
        <f t="shared" si="84"/>
        <v>0</v>
      </c>
    </row>
    <row r="131" spans="1:10" x14ac:dyDescent="0.25">
      <c r="A131" s="200" t="s">
        <v>554</v>
      </c>
      <c r="B131" s="201" t="str">
        <f t="shared" si="46"/>
        <v>Salvapájaros OPGW ccto 30 kV</v>
      </c>
      <c r="C131" s="244" t="str">
        <f t="shared" ref="C131" si="85">+C93</f>
        <v>ud</v>
      </c>
      <c r="D131" s="245">
        <f t="shared" si="48"/>
        <v>0</v>
      </c>
      <c r="E131" s="245">
        <f t="shared" si="77"/>
        <v>15.399999999999999</v>
      </c>
      <c r="F131" s="245">
        <f t="shared" si="49"/>
        <v>0</v>
      </c>
      <c r="G131" s="246">
        <f t="shared" si="44"/>
        <v>0</v>
      </c>
      <c r="H131" s="247">
        <f t="shared" ref="H131:J131" si="86">+H93</f>
        <v>0</v>
      </c>
      <c r="I131" s="247">
        <f t="shared" si="86"/>
        <v>0</v>
      </c>
      <c r="J131" s="247">
        <f t="shared" si="86"/>
        <v>0</v>
      </c>
    </row>
    <row r="132" spans="1:10" x14ac:dyDescent="0.25">
      <c r="A132" s="200" t="s">
        <v>557</v>
      </c>
      <c r="B132" s="201" t="str">
        <f t="shared" si="46"/>
        <v>Salvapájaros OPGW ccto 220 kV</v>
      </c>
      <c r="C132" s="244" t="str">
        <f t="shared" ref="C132" si="87">+C94</f>
        <v>ud</v>
      </c>
      <c r="D132" s="245">
        <f t="shared" si="48"/>
        <v>0</v>
      </c>
      <c r="E132" s="245">
        <f t="shared" si="77"/>
        <v>15.399999999999999</v>
      </c>
      <c r="F132" s="245">
        <f t="shared" si="49"/>
        <v>0</v>
      </c>
      <c r="G132" s="246">
        <f t="shared" si="44"/>
        <v>0</v>
      </c>
      <c r="H132" s="247">
        <f t="shared" ref="H132:J132" si="88">+H94</f>
        <v>0</v>
      </c>
      <c r="I132" s="247">
        <f t="shared" si="88"/>
        <v>0</v>
      </c>
      <c r="J132" s="247">
        <f t="shared" si="88"/>
        <v>0</v>
      </c>
    </row>
    <row r="133" spans="1:10" x14ac:dyDescent="0.25">
      <c r="A133" s="200" t="s">
        <v>558</v>
      </c>
      <c r="B133" s="201" t="str">
        <f>+B95</f>
        <v>PAT apoyo</v>
      </c>
      <c r="C133" s="244" t="str">
        <f t="shared" ref="C133" si="89">+C95</f>
        <v>ud</v>
      </c>
      <c r="D133" s="245">
        <f t="shared" si="48"/>
        <v>0</v>
      </c>
      <c r="E133" s="245">
        <v>300</v>
      </c>
      <c r="F133" s="245">
        <f t="shared" si="49"/>
        <v>0</v>
      </c>
      <c r="G133" s="246">
        <f t="shared" si="44"/>
        <v>0</v>
      </c>
      <c r="H133" s="247">
        <f t="shared" ref="H133:J133" si="90">+H95</f>
        <v>0</v>
      </c>
      <c r="I133" s="247">
        <f t="shared" si="90"/>
        <v>0</v>
      </c>
      <c r="J133" s="247">
        <f t="shared" si="90"/>
        <v>0</v>
      </c>
    </row>
    <row r="134" spans="1:10" x14ac:dyDescent="0.25">
      <c r="A134" s="200" t="s">
        <v>561</v>
      </c>
      <c r="B134" s="201" t="str">
        <f>+B96</f>
        <v>Conexión FO</v>
      </c>
      <c r="C134" s="244" t="str">
        <f t="shared" ref="C134" si="91">+C96</f>
        <v>ud</v>
      </c>
      <c r="D134" s="245">
        <f t="shared" si="48"/>
        <v>0</v>
      </c>
      <c r="E134" s="245">
        <v>2000</v>
      </c>
      <c r="F134" s="245">
        <f t="shared" si="49"/>
        <v>0</v>
      </c>
      <c r="G134" s="246">
        <f t="shared" si="44"/>
        <v>0</v>
      </c>
      <c r="H134" s="247">
        <f t="shared" ref="H134:J134" si="92">+H96</f>
        <v>0</v>
      </c>
      <c r="I134" s="247">
        <f t="shared" si="92"/>
        <v>0</v>
      </c>
      <c r="J134" s="247">
        <f t="shared" si="92"/>
        <v>0</v>
      </c>
    </row>
    <row r="135" spans="1:10" x14ac:dyDescent="0.25">
      <c r="A135" s="294" t="s">
        <v>79</v>
      </c>
      <c r="B135" s="294"/>
      <c r="C135" s="294"/>
      <c r="D135" s="294"/>
      <c r="E135" s="294"/>
      <c r="F135" s="248">
        <f>SUM(F101:F134)</f>
        <v>0</v>
      </c>
      <c r="G135" s="241"/>
    </row>
    <row r="136" spans="1:10" x14ac:dyDescent="0.25">
      <c r="A136" s="299"/>
      <c r="B136" s="299"/>
      <c r="C136" s="299"/>
      <c r="D136" s="299"/>
      <c r="E136" s="299"/>
      <c r="F136" s="299"/>
      <c r="G136" s="246"/>
    </row>
    <row r="137" spans="1:10" x14ac:dyDescent="0.25">
      <c r="A137" s="300" t="s">
        <v>227</v>
      </c>
      <c r="B137" s="300"/>
      <c r="C137" s="300"/>
      <c r="D137" s="300"/>
      <c r="E137" s="300"/>
      <c r="F137" s="300"/>
      <c r="G137" s="246"/>
    </row>
    <row r="138" spans="1:10" x14ac:dyDescent="0.25">
      <c r="A138" s="242" t="s">
        <v>124</v>
      </c>
      <c r="B138" s="242" t="s">
        <v>0</v>
      </c>
      <c r="C138" s="36" t="s">
        <v>1</v>
      </c>
      <c r="D138" s="36" t="s">
        <v>2</v>
      </c>
      <c r="E138" s="36" t="s">
        <v>74</v>
      </c>
      <c r="F138" s="36" t="s">
        <v>3</v>
      </c>
      <c r="G138" s="246"/>
    </row>
    <row r="139" spans="1:10" ht="38.25" x14ac:dyDescent="0.25">
      <c r="A139" s="200" t="s">
        <v>223</v>
      </c>
      <c r="B139" s="201" t="s">
        <v>563</v>
      </c>
      <c r="C139" s="244" t="s">
        <v>7</v>
      </c>
      <c r="D139" s="245">
        <f>+'1.- datos aéreo'!S16</f>
        <v>0</v>
      </c>
      <c r="E139" s="245">
        <v>99</v>
      </c>
      <c r="F139" s="245">
        <f>D139*E139</f>
        <v>0</v>
      </c>
      <c r="G139" s="246">
        <f>+D139-SUM(H139:J139)</f>
        <v>0</v>
      </c>
      <c r="H139" s="247"/>
      <c r="I139" s="247"/>
      <c r="J139" s="247"/>
    </row>
    <row r="140" spans="1:10" ht="102" x14ac:dyDescent="0.25">
      <c r="A140" s="200" t="s">
        <v>224</v>
      </c>
      <c r="B140" s="201" t="s">
        <v>222</v>
      </c>
      <c r="C140" s="244" t="s">
        <v>7</v>
      </c>
      <c r="D140" s="245">
        <f>+'1.- datos aéreo'!T16</f>
        <v>0</v>
      </c>
      <c r="E140" s="245">
        <v>102</v>
      </c>
      <c r="F140" s="245">
        <f t="shared" ref="F140:F141" si="93">D140*E140</f>
        <v>0</v>
      </c>
      <c r="G140" s="246">
        <f>+D140-SUM(H140:J140)</f>
        <v>0</v>
      </c>
      <c r="H140" s="247"/>
      <c r="I140" s="247"/>
      <c r="J140" s="247"/>
    </row>
    <row r="141" spans="1:10" ht="51" x14ac:dyDescent="0.25">
      <c r="A141" s="200" t="s">
        <v>225</v>
      </c>
      <c r="B141" s="201" t="s">
        <v>226</v>
      </c>
      <c r="C141" s="244" t="s">
        <v>1</v>
      </c>
      <c r="D141" s="245">
        <f>+'1.- datos aéreo'!E49</f>
        <v>0</v>
      </c>
      <c r="E141" s="245">
        <v>200</v>
      </c>
      <c r="F141" s="245">
        <f t="shared" si="93"/>
        <v>0</v>
      </c>
      <c r="G141" s="246">
        <f>+D141-SUM(H141:J141)</f>
        <v>0</v>
      </c>
      <c r="H141" s="247"/>
      <c r="I141" s="247"/>
      <c r="J141" s="247"/>
    </row>
    <row r="142" spans="1:10" x14ac:dyDescent="0.25">
      <c r="A142" s="294" t="s">
        <v>80</v>
      </c>
      <c r="B142" s="294"/>
      <c r="C142" s="294"/>
      <c r="D142" s="294"/>
      <c r="E142" s="294"/>
      <c r="F142" s="248">
        <f>SUM(F139:F141)</f>
        <v>0</v>
      </c>
      <c r="G142" s="246"/>
    </row>
    <row r="143" spans="1:10" x14ac:dyDescent="0.25">
      <c r="A143" s="294" t="s">
        <v>235</v>
      </c>
      <c r="B143" s="294"/>
      <c r="C143" s="294"/>
      <c r="D143" s="294"/>
      <c r="E143" s="294"/>
      <c r="F143" s="248">
        <f>+F142+F135+F97</f>
        <v>0</v>
      </c>
      <c r="G143" s="246"/>
    </row>
    <row r="144" spans="1:10" x14ac:dyDescent="0.25">
      <c r="A144" s="299"/>
      <c r="B144" s="299"/>
      <c r="C144" s="299"/>
      <c r="D144" s="299"/>
      <c r="E144" s="299"/>
      <c r="F144" s="299"/>
      <c r="G144" s="246"/>
    </row>
    <row r="145" spans="1:11" x14ac:dyDescent="0.25">
      <c r="A145" s="298" t="s">
        <v>81</v>
      </c>
      <c r="B145" s="298"/>
      <c r="C145" s="298"/>
      <c r="D145" s="298"/>
      <c r="E145" s="298"/>
      <c r="F145" s="298"/>
      <c r="G145" s="246"/>
    </row>
    <row r="146" spans="1:11" x14ac:dyDescent="0.25">
      <c r="A146" s="242" t="s">
        <v>124</v>
      </c>
      <c r="B146" s="242" t="s">
        <v>0</v>
      </c>
      <c r="C146" s="36" t="s">
        <v>1</v>
      </c>
      <c r="D146" s="36" t="s">
        <v>2</v>
      </c>
      <c r="E146" s="36" t="s">
        <v>74</v>
      </c>
      <c r="F146" s="36" t="s">
        <v>3</v>
      </c>
      <c r="G146" s="246"/>
      <c r="K146" s="250" t="s">
        <v>584</v>
      </c>
    </row>
    <row r="147" spans="1:11" x14ac:dyDescent="0.25">
      <c r="A147" s="200" t="s">
        <v>236</v>
      </c>
      <c r="B147" s="200" t="s">
        <v>63</v>
      </c>
      <c r="C147" s="251" t="s">
        <v>6</v>
      </c>
      <c r="D147" s="245">
        <v>1</v>
      </c>
      <c r="E147" s="245">
        <f>+'EGR 4-copiar en word 3 EGR'!F21</f>
        <v>10401.364655852385</v>
      </c>
      <c r="F147" s="245">
        <f>D147*E147</f>
        <v>10401.364655852385</v>
      </c>
      <c r="G147" s="246" t="e">
        <f>+E147-SUM(H147:J147)</f>
        <v>#REF!</v>
      </c>
      <c r="H147" s="247" t="e">
        <f>+$K$147*H4</f>
        <v>#REF!</v>
      </c>
      <c r="I147" s="247" t="e">
        <f>+$K$147*I4</f>
        <v>#REF!</v>
      </c>
      <c r="J147" s="247" t="e">
        <f>+$K$147*J4</f>
        <v>#REF!</v>
      </c>
      <c r="K147" s="250">
        <v>15859.176705649545</v>
      </c>
    </row>
    <row r="148" spans="1:11" x14ac:dyDescent="0.25">
      <c r="A148" s="301" t="s">
        <v>543</v>
      </c>
      <c r="B148" s="302"/>
      <c r="C148" s="302"/>
      <c r="D148" s="302"/>
      <c r="E148" s="303"/>
      <c r="F148" s="248">
        <f>+F147</f>
        <v>10401.364655852385</v>
      </c>
      <c r="G148" s="246" t="e">
        <f>+F148-SUM(H148:J148)</f>
        <v>#REF!</v>
      </c>
      <c r="H148" s="252" t="e">
        <f>+H147</f>
        <v>#REF!</v>
      </c>
      <c r="I148" s="252" t="e">
        <f t="shared" ref="I148:J148" si="94">+I147</f>
        <v>#REF!</v>
      </c>
      <c r="J148" s="252" t="e">
        <f t="shared" si="94"/>
        <v>#REF!</v>
      </c>
      <c r="K148" s="253">
        <f>+K147-F147</f>
        <v>5457.8120497971595</v>
      </c>
    </row>
    <row r="149" spans="1:11" x14ac:dyDescent="0.25">
      <c r="A149" s="295"/>
      <c r="B149" s="296"/>
      <c r="C149" s="296"/>
      <c r="D149" s="296"/>
      <c r="E149" s="296"/>
      <c r="F149" s="297"/>
      <c r="G149" s="246"/>
    </row>
    <row r="150" spans="1:11" x14ac:dyDescent="0.25">
      <c r="A150" s="298" t="s">
        <v>82</v>
      </c>
      <c r="B150" s="298"/>
      <c r="C150" s="298"/>
      <c r="D150" s="298"/>
      <c r="E150" s="298"/>
      <c r="F150" s="298"/>
      <c r="G150" s="246"/>
    </row>
    <row r="151" spans="1:11" x14ac:dyDescent="0.25">
      <c r="A151" s="242" t="s">
        <v>124</v>
      </c>
      <c r="B151" s="242" t="s">
        <v>0</v>
      </c>
      <c r="C151" s="36" t="s">
        <v>1</v>
      </c>
      <c r="D151" s="36" t="s">
        <v>2</v>
      </c>
      <c r="E151" s="36" t="s">
        <v>74</v>
      </c>
      <c r="F151" s="36" t="s">
        <v>3</v>
      </c>
      <c r="G151" s="246"/>
      <c r="K151" s="250" t="s">
        <v>584</v>
      </c>
    </row>
    <row r="152" spans="1:11" x14ac:dyDescent="0.25">
      <c r="A152" s="200" t="s">
        <v>237</v>
      </c>
      <c r="B152" s="200" t="s">
        <v>83</v>
      </c>
      <c r="C152" s="251" t="s">
        <v>6</v>
      </c>
      <c r="D152" s="245">
        <v>1</v>
      </c>
      <c r="E152" s="245">
        <f>+'ESS 1-input-copiar en word ESS'!B82</f>
        <v>18587.273399999998</v>
      </c>
      <c r="F152" s="245">
        <f>D152*E152</f>
        <v>18587.273399999998</v>
      </c>
      <c r="G152" s="246" t="e">
        <f>+E152-SUM(H152:J152)</f>
        <v>#REF!</v>
      </c>
      <c r="H152" s="247" t="e">
        <f>+$K$152*H4</f>
        <v>#REF!</v>
      </c>
      <c r="I152" s="247" t="e">
        <f>+$K$152*I4</f>
        <v>#REF!</v>
      </c>
      <c r="J152" s="247" t="e">
        <f>+$K$152*J4</f>
        <v>#REF!</v>
      </c>
      <c r="K152" s="250">
        <v>18587.273399999998</v>
      </c>
    </row>
    <row r="153" spans="1:11" x14ac:dyDescent="0.25">
      <c r="A153" s="294" t="s">
        <v>544</v>
      </c>
      <c r="B153" s="294"/>
      <c r="C153" s="294"/>
      <c r="D153" s="294"/>
      <c r="E153" s="294"/>
      <c r="F153" s="248">
        <f>+F152</f>
        <v>18587.273399999998</v>
      </c>
      <c r="G153" s="246" t="e">
        <f>+F153-SUM(H153:J153)</f>
        <v>#REF!</v>
      </c>
      <c r="H153" s="252" t="e">
        <f t="shared" ref="H153:J153" si="95">+H152</f>
        <v>#REF!</v>
      </c>
      <c r="I153" s="252" t="e">
        <f t="shared" si="95"/>
        <v>#REF!</v>
      </c>
      <c r="J153" s="252" t="e">
        <f t="shared" si="95"/>
        <v>#REF!</v>
      </c>
      <c r="K153" s="253">
        <f>+K152-F152</f>
        <v>0</v>
      </c>
    </row>
    <row r="154" spans="1:11" x14ac:dyDescent="0.25">
      <c r="A154" s="294" t="s">
        <v>238</v>
      </c>
      <c r="B154" s="294"/>
      <c r="C154" s="294"/>
      <c r="D154" s="294"/>
      <c r="E154" s="294"/>
      <c r="F154" s="248">
        <f>+F153+F148+F143+F58</f>
        <v>452692.34680585237</v>
      </c>
      <c r="G154" s="241"/>
    </row>
    <row r="155" spans="1:11" x14ac:dyDescent="0.25">
      <c r="G155" s="246"/>
    </row>
    <row r="156" spans="1:11" x14ac:dyDescent="0.25">
      <c r="B156" s="254" t="str">
        <f>+A2</f>
        <v>CAPÍTULO 1. LÍNEA SUBTERRÁNEA</v>
      </c>
      <c r="C156" s="196" t="s">
        <v>3</v>
      </c>
      <c r="G156" s="246"/>
      <c r="H156" s="196" t="s">
        <v>3</v>
      </c>
      <c r="I156" s="196" t="s">
        <v>3</v>
      </c>
      <c r="J156" s="196" t="s">
        <v>3</v>
      </c>
    </row>
    <row r="157" spans="1:11" ht="30" x14ac:dyDescent="0.25">
      <c r="B157" s="255" t="str">
        <f>+A3</f>
        <v>CAPÍTULO 1.1 MATERIALES  LÍNEA SUBTERRÁNEA</v>
      </c>
      <c r="C157" s="207">
        <f>+F24</f>
        <v>263177.89159999997</v>
      </c>
      <c r="G157" s="246">
        <f>+C157-SUM(H157:J157)</f>
        <v>261117.89159999997</v>
      </c>
      <c r="H157" s="207">
        <f>+'PRESUPUESTO  TTMM 1 UBARRUNDIA'!C151</f>
        <v>2060</v>
      </c>
      <c r="I157" s="207">
        <f>+'PRESUPUESTO TTMM 2  ZIGOITIA'!C151</f>
        <v>0</v>
      </c>
      <c r="J157" s="207">
        <f>+'PRESUPUESTO TTMM 3 no hay'!C151</f>
        <v>0</v>
      </c>
    </row>
    <row r="158" spans="1:11" ht="30" x14ac:dyDescent="0.25">
      <c r="B158" s="255" t="str">
        <f>+A26</f>
        <v>CAPÍTULO 1.2. MONTAJE  LÍNEA SUBTERRÁNEA</v>
      </c>
      <c r="C158" s="207">
        <f>+F47</f>
        <v>73144.217149999997</v>
      </c>
      <c r="G158" s="246">
        <f>+C158-SUM(H158:J158)</f>
        <v>72564.217149999997</v>
      </c>
      <c r="H158" s="207">
        <f>+'PRESUPUESTO  TTMM 1 UBARRUNDIA'!C152</f>
        <v>580</v>
      </c>
      <c r="I158" s="207">
        <f>+'PRESUPUESTO TTMM 2  ZIGOITIA'!C152</f>
        <v>0</v>
      </c>
      <c r="J158" s="207">
        <f>+'PRESUPUESTO TTMM 3 no hay'!C152</f>
        <v>0</v>
      </c>
    </row>
    <row r="159" spans="1:11" ht="30" x14ac:dyDescent="0.25">
      <c r="B159" s="255" t="str">
        <f>+A49</f>
        <v>CAPÍTULO 1.3. OBRA CIVIL LÍNEA SUBTERRÁNEA</v>
      </c>
      <c r="C159" s="207">
        <f>+F57</f>
        <v>87381.6</v>
      </c>
      <c r="G159" s="246">
        <f>+C159-SUM(H159:J159)</f>
        <v>89781.6</v>
      </c>
      <c r="H159" s="207">
        <f>+'PRESUPUESTO  TTMM 1 UBARRUNDIA'!C153</f>
        <v>-2400</v>
      </c>
      <c r="I159" s="207">
        <f>+'PRESUPUESTO TTMM 2  ZIGOITIA'!C153</f>
        <v>0</v>
      </c>
      <c r="J159" s="207">
        <f>+'PRESUPUESTO TTMM 3 no hay'!C153</f>
        <v>0</v>
      </c>
    </row>
    <row r="160" spans="1:11" ht="30" x14ac:dyDescent="0.25">
      <c r="B160" s="256" t="str">
        <f>+A58</f>
        <v>TOTAL CAPÍTULO 1.- LINEA SUBTERRÁNEA</v>
      </c>
      <c r="C160" s="257">
        <f>+C157+C158+C159</f>
        <v>423703.70874999999</v>
      </c>
      <c r="D160" s="246">
        <f>+C160-F58</f>
        <v>0</v>
      </c>
      <c r="G160" s="246">
        <f>+C160-SUM(H160:J160)</f>
        <v>423463.70874999999</v>
      </c>
      <c r="H160" s="207">
        <f>+'PRESUPUESTO  TTMM 1 UBARRUNDIA'!C154</f>
        <v>240</v>
      </c>
      <c r="I160" s="258">
        <f>+'PRESUPUESTO TTMM 2  ZIGOITIA'!C154</f>
        <v>0</v>
      </c>
      <c r="J160" s="258">
        <f>+'PRESUPUESTO TTMM 3 no hay'!C154</f>
        <v>0</v>
      </c>
    </row>
    <row r="161" spans="2:13" x14ac:dyDescent="0.25">
      <c r="B161" s="254" t="str">
        <f>+A60</f>
        <v>CAPÍTULO 2. LÍNEA AÉREA</v>
      </c>
      <c r="C161" s="196" t="s">
        <v>3</v>
      </c>
      <c r="G161" s="246"/>
      <c r="H161" s="196" t="str">
        <f>+'PRESUPUESTO  TTMM 1 UBARRUNDIA'!C155</f>
        <v>Importe (€)</v>
      </c>
      <c r="I161" s="196" t="str">
        <f>+'PRESUPUESTO TTMM 2  ZIGOITIA'!C155</f>
        <v>Importe (€)</v>
      </c>
      <c r="J161" s="196" t="str">
        <f>+'PRESUPUESTO TTMM 3 no hay'!C155</f>
        <v>Importe (€)</v>
      </c>
    </row>
    <row r="162" spans="2:13" ht="30" x14ac:dyDescent="0.25">
      <c r="B162" s="255" t="str">
        <f>+A61</f>
        <v>CAPÍTULO 2.1 MATERIALES  LÍNEA AÉREA</v>
      </c>
      <c r="C162" s="207">
        <f>+F97</f>
        <v>0</v>
      </c>
      <c r="G162" s="246">
        <f t="shared" ref="G162:G172" si="96">+C162-SUM(H162:J162)</f>
        <v>0</v>
      </c>
      <c r="H162" s="207">
        <f>+'PRESUPUESTO  TTMM 1 UBARRUNDIA'!C156</f>
        <v>0</v>
      </c>
      <c r="I162" s="207">
        <f>+'PRESUPUESTO TTMM 2  ZIGOITIA'!C156</f>
        <v>0</v>
      </c>
      <c r="J162" s="207">
        <f>+'PRESUPUESTO TTMM 3 no hay'!C156</f>
        <v>0</v>
      </c>
    </row>
    <row r="163" spans="2:13" ht="30" x14ac:dyDescent="0.25">
      <c r="B163" s="255" t="str">
        <f>+A99</f>
        <v>CAPÍTULO 2.2 MONTAJE  LÍNEA AÉREA</v>
      </c>
      <c r="C163" s="207">
        <f>+F135</f>
        <v>0</v>
      </c>
      <c r="G163" s="246">
        <f t="shared" si="96"/>
        <v>0</v>
      </c>
      <c r="H163" s="207">
        <f>+'PRESUPUESTO  TTMM 1 UBARRUNDIA'!C157</f>
        <v>0</v>
      </c>
      <c r="I163" s="207">
        <f>+'PRESUPUESTO TTMM 2  ZIGOITIA'!C157</f>
        <v>0</v>
      </c>
      <c r="J163" s="207">
        <f>+'PRESUPUESTO TTMM 3 no hay'!C157</f>
        <v>0</v>
      </c>
    </row>
    <row r="164" spans="2:13" ht="30" x14ac:dyDescent="0.25">
      <c r="B164" s="255" t="str">
        <f>+A137</f>
        <v>CAPÍTULO 2.3 OBRA CIVIL LÍNEA AÉREA</v>
      </c>
      <c r="C164" s="207">
        <f>+F142</f>
        <v>0</v>
      </c>
      <c r="G164" s="246">
        <f t="shared" si="96"/>
        <v>0</v>
      </c>
      <c r="H164" s="207">
        <f>+'PRESUPUESTO  TTMM 1 UBARRUNDIA'!C158</f>
        <v>0</v>
      </c>
      <c r="I164" s="207">
        <f>+'PRESUPUESTO TTMM 2  ZIGOITIA'!C158</f>
        <v>0</v>
      </c>
      <c r="J164" s="207">
        <f>+'PRESUPUESTO TTMM 3 no hay'!C158</f>
        <v>0</v>
      </c>
    </row>
    <row r="165" spans="2:13" x14ac:dyDescent="0.25">
      <c r="B165" s="259" t="str">
        <f>+A143</f>
        <v>TOTAL CAPÍTULO 2.- LÍNEA AÉREA</v>
      </c>
      <c r="C165" s="257">
        <f>+C162+C163+C164</f>
        <v>0</v>
      </c>
      <c r="D165" s="246">
        <f>+F143-C165</f>
        <v>0</v>
      </c>
      <c r="G165" s="246">
        <f t="shared" si="96"/>
        <v>0</v>
      </c>
      <c r="H165" s="260">
        <f>+'PRESUPUESTO  TTMM 1 UBARRUNDIA'!C159</f>
        <v>0</v>
      </c>
      <c r="I165" s="260">
        <f>+'PRESUPUESTO TTMM 2  ZIGOITIA'!C159</f>
        <v>0</v>
      </c>
      <c r="J165" s="260">
        <f>+'PRESUPUESTO TTMM 3 no hay'!C159</f>
        <v>0</v>
      </c>
    </row>
    <row r="166" spans="2:13" ht="30" x14ac:dyDescent="0.25">
      <c r="B166" s="255" t="str">
        <f>+A145</f>
        <v>CAPÍTULO 3. ESTUDIO DE GESTIÓN DE RESIDUOS</v>
      </c>
      <c r="C166" s="207">
        <f>+F148</f>
        <v>10401.364655852385</v>
      </c>
      <c r="G166" s="246" t="e">
        <f t="shared" si="96"/>
        <v>#REF!</v>
      </c>
      <c r="H166" s="207" t="e">
        <f>+'PRESUPUESTO  TTMM 1 UBARRUNDIA'!C160</f>
        <v>#REF!</v>
      </c>
      <c r="I166" s="207" t="e">
        <f>+'PRESUPUESTO TTMM 2  ZIGOITIA'!C160</f>
        <v>#REF!</v>
      </c>
      <c r="J166" s="207" t="e">
        <f>+'PRESUPUESTO TTMM 3 no hay'!C160</f>
        <v>#REF!</v>
      </c>
    </row>
    <row r="167" spans="2:13" ht="30" x14ac:dyDescent="0.25">
      <c r="B167" s="259" t="str">
        <f>+A148</f>
        <v>TOTAL CAPÍTULO 3.-ESTUDIO DE GESTIÓN DE RESIDUOS</v>
      </c>
      <c r="C167" s="208">
        <f>+C166</f>
        <v>10401.364655852385</v>
      </c>
      <c r="G167" s="246" t="e">
        <f t="shared" si="96"/>
        <v>#REF!</v>
      </c>
      <c r="H167" s="207" t="e">
        <f>+'PRESUPUESTO  TTMM 1 UBARRUNDIA'!C161</f>
        <v>#REF!</v>
      </c>
      <c r="I167" s="207" t="e">
        <f>+'PRESUPUESTO TTMM 2  ZIGOITIA'!C161</f>
        <v>#REF!</v>
      </c>
      <c r="J167" s="207" t="e">
        <f>+'PRESUPUESTO TTMM 3 no hay'!C161</f>
        <v>#REF!</v>
      </c>
    </row>
    <row r="168" spans="2:13" ht="30" x14ac:dyDescent="0.25">
      <c r="B168" s="255" t="str">
        <f>+A150</f>
        <v>CAPÍTULO 4. ESTUDIO DE SEGURIDAD Y SALUD</v>
      </c>
      <c r="C168" s="207">
        <f>+F153</f>
        <v>18587.273399999998</v>
      </c>
      <c r="G168" s="246" t="e">
        <f t="shared" si="96"/>
        <v>#REF!</v>
      </c>
      <c r="H168" s="207" t="e">
        <f>+'PRESUPUESTO  TTMM 1 UBARRUNDIA'!C162</f>
        <v>#REF!</v>
      </c>
      <c r="I168" s="207" t="e">
        <f>+'PRESUPUESTO TTMM 2  ZIGOITIA'!C162</f>
        <v>#REF!</v>
      </c>
      <c r="J168" s="207" t="e">
        <f>+'PRESUPUESTO TTMM 3 no hay'!C162</f>
        <v>#REF!</v>
      </c>
    </row>
    <row r="169" spans="2:13" ht="30" x14ac:dyDescent="0.25">
      <c r="B169" s="259" t="str">
        <f>+A153</f>
        <v>TOTAL CAPÍTULO 4.-ESTUDIO DE SEGURIDAD Y SALUD</v>
      </c>
      <c r="C169" s="208">
        <f>+C168</f>
        <v>18587.273399999998</v>
      </c>
      <c r="G169" s="246" t="e">
        <f t="shared" si="96"/>
        <v>#REF!</v>
      </c>
      <c r="H169" s="207" t="e">
        <f>+'PRESUPUESTO  TTMM 1 UBARRUNDIA'!C163</f>
        <v>#REF!</v>
      </c>
      <c r="I169" s="207" t="e">
        <f>+'PRESUPUESTO TTMM 2  ZIGOITIA'!C163</f>
        <v>#REF!</v>
      </c>
      <c r="J169" s="207" t="e">
        <f>+'PRESUPUESTO TTMM 3 no hay'!C163</f>
        <v>#REF!</v>
      </c>
    </row>
    <row r="170" spans="2:13" ht="30" x14ac:dyDescent="0.25">
      <c r="B170" s="267" t="s">
        <v>71</v>
      </c>
      <c r="C170" s="268">
        <f>+C160+C165+C167+C169</f>
        <v>452692.34680585237</v>
      </c>
      <c r="D170" s="246">
        <f>+F154-C170</f>
        <v>0</v>
      </c>
      <c r="G170" s="246" t="e">
        <f t="shared" si="96"/>
        <v>#REF!</v>
      </c>
      <c r="H170" s="268" t="e">
        <f>+'PRESUPUESTO  TTMM 1 UBARRUNDIA'!C164</f>
        <v>#REF!</v>
      </c>
      <c r="I170" s="268" t="e">
        <f>+'PRESUPUESTO TTMM 2  ZIGOITIA'!C164</f>
        <v>#REF!</v>
      </c>
      <c r="J170" s="268" t="e">
        <f>+'PRESUPUESTO TTMM 3 no hay'!C164</f>
        <v>#REF!</v>
      </c>
    </row>
    <row r="171" spans="2:13" x14ac:dyDescent="0.25">
      <c r="B171" s="262" t="s">
        <v>9</v>
      </c>
      <c r="C171" s="207">
        <f>+C170*0.21</f>
        <v>95065.392829228993</v>
      </c>
      <c r="G171" s="246" t="e">
        <f t="shared" si="96"/>
        <v>#REF!</v>
      </c>
      <c r="H171" s="207" t="e">
        <f>+'PRESUPUESTO  TTMM 1 UBARRUNDIA'!C165</f>
        <v>#REF!</v>
      </c>
      <c r="I171" s="207" t="e">
        <f>+'PRESUPUESTO TTMM 2  ZIGOITIA'!C165</f>
        <v>#REF!</v>
      </c>
      <c r="J171" s="207" t="e">
        <f>+'PRESUPUESTO TTMM 3 no hay'!C165</f>
        <v>#REF!</v>
      </c>
    </row>
    <row r="172" spans="2:13" ht="31.5" x14ac:dyDescent="0.25">
      <c r="B172" s="261" t="s">
        <v>72</v>
      </c>
      <c r="C172" s="208">
        <f>+C170+C171</f>
        <v>547757.73963508138</v>
      </c>
      <c r="G172" s="263" t="e">
        <f t="shared" si="96"/>
        <v>#REF!</v>
      </c>
      <c r="H172" s="208" t="e">
        <f>+'PRESUPUESTO  TTMM 1 UBARRUNDIA'!C166</f>
        <v>#REF!</v>
      </c>
      <c r="I172" s="208" t="e">
        <f>+'PRESUPUESTO TTMM 2  ZIGOITIA'!C166</f>
        <v>#REF!</v>
      </c>
      <c r="J172" s="208" t="e">
        <f>+'PRESUPUESTO TTMM 3 no hay'!C166</f>
        <v>#REF!</v>
      </c>
    </row>
    <row r="173" spans="2:13" x14ac:dyDescent="0.25">
      <c r="H173" s="237"/>
      <c r="I173" s="237"/>
      <c r="J173" s="237"/>
      <c r="K173" s="237"/>
      <c r="L173" s="237"/>
      <c r="M173" s="237"/>
    </row>
    <row r="174" spans="2:13" x14ac:dyDescent="0.25">
      <c r="B174" s="264" t="s">
        <v>599</v>
      </c>
      <c r="C174" s="249" t="s">
        <v>594</v>
      </c>
      <c r="H174" s="237"/>
      <c r="I174" s="237"/>
      <c r="J174" s="237"/>
      <c r="K174" s="237"/>
      <c r="L174" s="237"/>
      <c r="M174" s="237"/>
    </row>
    <row r="175" spans="2:13" ht="25.5" x14ac:dyDescent="0.25">
      <c r="B175" s="265" t="s">
        <v>596</v>
      </c>
      <c r="C175" s="266">
        <f>+'1.- datos aéreo'!J42/1000</f>
        <v>2.206</v>
      </c>
      <c r="H175" s="237"/>
      <c r="I175" s="273"/>
      <c r="J175" s="273"/>
      <c r="K175" s="273"/>
      <c r="L175" s="273"/>
      <c r="M175" s="273"/>
    </row>
    <row r="176" spans="2:13" x14ac:dyDescent="0.25">
      <c r="B176" s="265" t="s">
        <v>597</v>
      </c>
      <c r="C176" s="266"/>
      <c r="H176" s="237"/>
      <c r="I176" s="237"/>
      <c r="J176" s="237"/>
      <c r="K176" s="237"/>
      <c r="L176" s="237"/>
      <c r="M176" s="237"/>
    </row>
    <row r="177" spans="2:13" x14ac:dyDescent="0.25">
      <c r="B177" s="265" t="s">
        <v>598</v>
      </c>
      <c r="C177" s="266"/>
      <c r="E177" s="237"/>
      <c r="H177" s="237"/>
      <c r="I177" s="237"/>
      <c r="J177" s="237"/>
      <c r="K177" s="237"/>
      <c r="L177" s="237"/>
      <c r="M177" s="237"/>
    </row>
    <row r="178" spans="2:13" x14ac:dyDescent="0.25">
      <c r="C178" s="249" t="s">
        <v>595</v>
      </c>
      <c r="H178" s="237"/>
      <c r="I178" s="237"/>
      <c r="J178" s="237"/>
      <c r="K178" s="237"/>
      <c r="L178" s="237"/>
      <c r="M178" s="237"/>
    </row>
    <row r="179" spans="2:13" ht="25.5" x14ac:dyDescent="0.25">
      <c r="B179" s="265" t="s">
        <v>600</v>
      </c>
      <c r="C179" s="207">
        <f>+C170/C175</f>
        <v>205209.58604073091</v>
      </c>
    </row>
    <row r="180" spans="2:13" x14ac:dyDescent="0.25">
      <c r="B180" s="265" t="s">
        <v>601</v>
      </c>
      <c r="C180" s="207"/>
    </row>
  </sheetData>
  <mergeCells count="28">
    <mergeCell ref="A48:F48"/>
    <mergeCell ref="A25:F25"/>
    <mergeCell ref="A61:F61"/>
    <mergeCell ref="A2:F2"/>
    <mergeCell ref="A60:F60"/>
    <mergeCell ref="A59:F59"/>
    <mergeCell ref="A3:F3"/>
    <mergeCell ref="A26:F26"/>
    <mergeCell ref="A49:F49"/>
    <mergeCell ref="A57:E57"/>
    <mergeCell ref="A47:E47"/>
    <mergeCell ref="A24:E24"/>
    <mergeCell ref="A153:E153"/>
    <mergeCell ref="A149:F149"/>
    <mergeCell ref="A154:E154"/>
    <mergeCell ref="A150:F150"/>
    <mergeCell ref="A58:E58"/>
    <mergeCell ref="A97:E97"/>
    <mergeCell ref="A98:F98"/>
    <mergeCell ref="A99:F99"/>
    <mergeCell ref="A135:E135"/>
    <mergeCell ref="A136:F136"/>
    <mergeCell ref="A148:E148"/>
    <mergeCell ref="A137:F137"/>
    <mergeCell ref="A142:E142"/>
    <mergeCell ref="A144:F144"/>
    <mergeCell ref="A143:E143"/>
    <mergeCell ref="A145:F145"/>
  </mergeCells>
  <phoneticPr fontId="12" type="noConversion"/>
  <conditionalFormatting sqref="C160 C165:C172">
    <cfRule type="cellIs" dxfId="46" priority="34" operator="equal">
      <formula>0</formula>
    </cfRule>
  </conditionalFormatting>
  <conditionalFormatting sqref="C179:C180">
    <cfRule type="cellIs" dxfId="45" priority="10" operator="equal">
      <formula>0</formula>
    </cfRule>
  </conditionalFormatting>
  <conditionalFormatting sqref="D160 D165">
    <cfRule type="cellIs" dxfId="44" priority="12" operator="notEqual">
      <formula>0</formula>
    </cfRule>
  </conditionalFormatting>
  <conditionalFormatting sqref="D170">
    <cfRule type="cellIs" dxfId="43" priority="11" operator="notEqual">
      <formula>0</formula>
    </cfRule>
  </conditionalFormatting>
  <conditionalFormatting sqref="F18:F24 D5:F23">
    <cfRule type="cellIs" dxfId="42" priority="28" operator="equal">
      <formula>0</formula>
    </cfRule>
  </conditionalFormatting>
  <conditionalFormatting sqref="D28:F46">
    <cfRule type="cellIs" dxfId="41" priority="13" operator="equal">
      <formula>0</formula>
    </cfRule>
  </conditionalFormatting>
  <conditionalFormatting sqref="D51:F56 D63:F96 F97 D101:F134 F135 D139:F141 F140:F143 D147:F147 F148 D152:E152 F152:F154">
    <cfRule type="cellIs" dxfId="40" priority="30" operator="equal">
      <formula>0</formula>
    </cfRule>
  </conditionalFormatting>
  <conditionalFormatting sqref="F47 F57:F58">
    <cfRule type="cellIs" dxfId="39" priority="29" operator="equal">
      <formula>0</formula>
    </cfRule>
  </conditionalFormatting>
  <conditionalFormatting sqref="G51:G56 G63:G96 G101:G134 G139:G141 G147:G148 G152:G153 G157:G160 G162:G172 G5:G23 G28:G46">
    <cfRule type="cellIs" dxfId="38" priority="14" operator="equal">
      <formula>0</formula>
    </cfRule>
    <cfRule type="cellIs" dxfId="37" priority="15" operator="notEqual">
      <formula>0</formula>
    </cfRule>
  </conditionalFormatting>
  <conditionalFormatting sqref="H5:J153">
    <cfRule type="cellIs" dxfId="36" priority="1" operator="greaterThan">
      <formula>0</formula>
    </cfRule>
  </conditionalFormatting>
  <conditionalFormatting sqref="H165:J172">
    <cfRule type="cellIs" dxfId="35" priority="7" operator="equal">
      <formula>0</formula>
    </cfRule>
  </conditionalFormatting>
  <conditionalFormatting sqref="I160:J160">
    <cfRule type="cellIs" dxfId="34" priority="16" operator="equal">
      <formula>0</formula>
    </cfRule>
  </conditionalFormatting>
  <dataValidations count="1">
    <dataValidation allowBlank="1" showErrorMessage="1" sqref="B93:B96" xr:uid="{CEE7E53C-5DA4-49CF-BCEF-6C1B1D6501BF}"/>
  </dataValidation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E0B4A-5007-4FDA-A7DF-C4435BC5F8D6}">
  <sheetPr>
    <tabColor rgb="FF92D050"/>
  </sheetPr>
  <dimension ref="A2:K166"/>
  <sheetViews>
    <sheetView showGridLines="0" topLeftCell="A139" zoomScale="85" zoomScaleNormal="85" workbookViewId="0">
      <selection activeCell="E29" sqref="E29"/>
    </sheetView>
  </sheetViews>
  <sheetFormatPr baseColWidth="10" defaultColWidth="24.140625" defaultRowHeight="15" x14ac:dyDescent="0.25"/>
  <cols>
    <col min="1" max="1" width="6.5703125" style="237" bestFit="1" customWidth="1"/>
    <col min="2" max="2" width="32.28515625" style="238" customWidth="1"/>
    <col min="3" max="3" width="13.140625" style="237" bestFit="1" customWidth="1"/>
    <col min="4" max="4" width="10.28515625" style="237" bestFit="1" customWidth="1"/>
    <col min="5" max="5" width="11.28515625" style="239" bestFit="1" customWidth="1"/>
    <col min="6" max="6" width="11.7109375" style="239" bestFit="1" customWidth="1"/>
    <col min="7" max="7" width="29.7109375" style="241" customWidth="1"/>
    <col min="8" max="8" width="9.7109375" style="241" bestFit="1" customWidth="1"/>
    <col min="9" max="11" width="24.140625" style="241"/>
    <col min="12" max="16384" width="24.140625" style="237"/>
  </cols>
  <sheetData>
    <row r="2" spans="1:7" x14ac:dyDescent="0.25">
      <c r="A2" s="300" t="s">
        <v>233</v>
      </c>
      <c r="B2" s="300"/>
      <c r="C2" s="300"/>
      <c r="D2" s="300"/>
      <c r="E2" s="300"/>
      <c r="F2" s="300"/>
    </row>
    <row r="3" spans="1:7" x14ac:dyDescent="0.25">
      <c r="A3" s="300" t="s">
        <v>232</v>
      </c>
      <c r="B3" s="300"/>
      <c r="C3" s="300"/>
      <c r="D3" s="300"/>
      <c r="E3" s="300"/>
      <c r="F3" s="300"/>
    </row>
    <row r="4" spans="1:7" x14ac:dyDescent="0.25">
      <c r="A4" s="242" t="s">
        <v>124</v>
      </c>
      <c r="B4" s="242" t="s">
        <v>0</v>
      </c>
      <c r="C4" s="36" t="s">
        <v>1</v>
      </c>
      <c r="D4" s="36" t="s">
        <v>2</v>
      </c>
      <c r="E4" s="36" t="s">
        <v>74</v>
      </c>
      <c r="F4" s="36" t="s">
        <v>3</v>
      </c>
      <c r="G4" s="243"/>
    </row>
    <row r="5" spans="1:7" x14ac:dyDescent="0.25">
      <c r="A5" s="200" t="s">
        <v>125</v>
      </c>
      <c r="B5" s="200" t="s">
        <v>119</v>
      </c>
      <c r="C5" s="244" t="s">
        <v>5</v>
      </c>
      <c r="D5" s="245">
        <f>+'PRESUPUESTO P'!H5</f>
        <v>0</v>
      </c>
      <c r="E5" s="245">
        <f>+'PRESUPUESTO P'!E5</f>
        <v>4</v>
      </c>
      <c r="F5" s="245">
        <f t="shared" ref="F5:F20" si="0">D5*E5</f>
        <v>0</v>
      </c>
    </row>
    <row r="6" spans="1:7" x14ac:dyDescent="0.25">
      <c r="A6" s="200" t="s">
        <v>126</v>
      </c>
      <c r="B6" s="200" t="s">
        <v>120</v>
      </c>
      <c r="C6" s="244" t="s">
        <v>5</v>
      </c>
      <c r="D6" s="245">
        <f>+'PRESUPUESTO P'!H7</f>
        <v>0</v>
      </c>
      <c r="E6" s="245">
        <f>+'PRESUPUESTO P'!E7</f>
        <v>120</v>
      </c>
      <c r="F6" s="245">
        <f t="shared" si="0"/>
        <v>0</v>
      </c>
    </row>
    <row r="7" spans="1:7" x14ac:dyDescent="0.25">
      <c r="A7" s="200" t="s">
        <v>127</v>
      </c>
      <c r="B7" s="200" t="s">
        <v>121</v>
      </c>
      <c r="C7" s="244" t="s">
        <v>6</v>
      </c>
      <c r="D7" s="245">
        <f>+'PRESUPUESTO P'!H9</f>
        <v>9</v>
      </c>
      <c r="E7" s="245">
        <f>+'PRESUPUESTO P'!E9</f>
        <v>160</v>
      </c>
      <c r="F7" s="245">
        <f t="shared" si="0"/>
        <v>1440</v>
      </c>
    </row>
    <row r="8" spans="1:7" x14ac:dyDescent="0.25">
      <c r="A8" s="200" t="s">
        <v>128</v>
      </c>
      <c r="B8" s="200" t="s">
        <v>122</v>
      </c>
      <c r="C8" s="244" t="s">
        <v>6</v>
      </c>
      <c r="D8" s="245">
        <f>+'PRESUPUESTO P'!H10</f>
        <v>0</v>
      </c>
      <c r="E8" s="245">
        <f>+'PRESUPUESTO P'!E10</f>
        <v>7000</v>
      </c>
      <c r="F8" s="245">
        <f t="shared" si="0"/>
        <v>0</v>
      </c>
    </row>
    <row r="9" spans="1:7" x14ac:dyDescent="0.25">
      <c r="A9" s="200" t="s">
        <v>129</v>
      </c>
      <c r="B9" s="200" t="s">
        <v>123</v>
      </c>
      <c r="C9" s="244" t="s">
        <v>6</v>
      </c>
      <c r="D9" s="245">
        <f>+'PRESUPUESTO P'!H11</f>
        <v>0</v>
      </c>
      <c r="E9" s="245">
        <f>+'PRESUPUESTO P'!E11</f>
        <v>3300</v>
      </c>
      <c r="F9" s="245">
        <f t="shared" si="0"/>
        <v>0</v>
      </c>
    </row>
    <row r="10" spans="1:7" x14ac:dyDescent="0.25">
      <c r="A10" s="200" t="s">
        <v>130</v>
      </c>
      <c r="B10" s="200" t="s">
        <v>111</v>
      </c>
      <c r="C10" s="244" t="s">
        <v>6</v>
      </c>
      <c r="D10" s="245">
        <f>+'PRESUPUESTO P'!H12</f>
        <v>-1</v>
      </c>
      <c r="E10" s="245">
        <f>+'PRESUPUESTO P'!E12</f>
        <v>300</v>
      </c>
      <c r="F10" s="245">
        <f t="shared" si="0"/>
        <v>-300</v>
      </c>
    </row>
    <row r="11" spans="1:7" x14ac:dyDescent="0.25">
      <c r="A11" s="200" t="s">
        <v>131</v>
      </c>
      <c r="B11" s="200" t="s">
        <v>112</v>
      </c>
      <c r="C11" s="244" t="s">
        <v>6</v>
      </c>
      <c r="D11" s="245">
        <f>+'PRESUPUESTO P'!H13</f>
        <v>0</v>
      </c>
      <c r="E11" s="245">
        <f>+'PRESUPUESTO P'!E13</f>
        <v>950</v>
      </c>
      <c r="F11" s="245">
        <f t="shared" si="0"/>
        <v>0</v>
      </c>
    </row>
    <row r="12" spans="1:7" x14ac:dyDescent="0.25">
      <c r="A12" s="200" t="s">
        <v>132</v>
      </c>
      <c r="B12" s="200" t="s">
        <v>113</v>
      </c>
      <c r="C12" s="244" t="s">
        <v>6</v>
      </c>
      <c r="D12" s="245">
        <f>+'PRESUPUESTO P'!H14</f>
        <v>-6</v>
      </c>
      <c r="E12" s="245">
        <f>+'PRESUPUESTO P'!E14</f>
        <v>180</v>
      </c>
      <c r="F12" s="245">
        <f t="shared" si="0"/>
        <v>-1080</v>
      </c>
    </row>
    <row r="13" spans="1:7" x14ac:dyDescent="0.25">
      <c r="A13" s="200" t="s">
        <v>133</v>
      </c>
      <c r="B13" s="200" t="s">
        <v>114</v>
      </c>
      <c r="C13" s="244" t="s">
        <v>6</v>
      </c>
      <c r="D13" s="245">
        <f>+'PRESUPUESTO P'!H15</f>
        <v>0</v>
      </c>
      <c r="E13" s="245">
        <f>+'PRESUPUESTO P'!E15</f>
        <v>5000</v>
      </c>
      <c r="F13" s="245">
        <f t="shared" si="0"/>
        <v>0</v>
      </c>
    </row>
    <row r="14" spans="1:7" x14ac:dyDescent="0.25">
      <c r="A14" s="200" t="s">
        <v>134</v>
      </c>
      <c r="B14" s="200" t="s">
        <v>87</v>
      </c>
      <c r="C14" s="244" t="s">
        <v>6</v>
      </c>
      <c r="D14" s="245">
        <f>+'PRESUPUESTO P'!H16</f>
        <v>0</v>
      </c>
      <c r="E14" s="245">
        <f>+'PRESUPUESTO P'!E16</f>
        <v>640</v>
      </c>
      <c r="F14" s="245">
        <f t="shared" si="0"/>
        <v>0</v>
      </c>
    </row>
    <row r="15" spans="1:7" x14ac:dyDescent="0.25">
      <c r="A15" s="200" t="s">
        <v>135</v>
      </c>
      <c r="B15" s="200" t="s">
        <v>90</v>
      </c>
      <c r="C15" s="244" t="s">
        <v>6</v>
      </c>
      <c r="D15" s="245">
        <f>+'PRESUPUESTO P'!H18</f>
        <v>0</v>
      </c>
      <c r="E15" s="245">
        <f>+'PRESUPUESTO P'!E18</f>
        <v>3200</v>
      </c>
      <c r="F15" s="245">
        <f t="shared" si="0"/>
        <v>0</v>
      </c>
    </row>
    <row r="16" spans="1:7" x14ac:dyDescent="0.25">
      <c r="A16" s="200" t="s">
        <v>136</v>
      </c>
      <c r="B16" s="200" t="s">
        <v>550</v>
      </c>
      <c r="C16" s="244" t="s">
        <v>6</v>
      </c>
      <c r="D16" s="245">
        <f>+'PRESUPUESTO P'!H19</f>
        <v>2</v>
      </c>
      <c r="E16" s="245">
        <f>+'PRESUPUESTO P'!E19</f>
        <v>1000</v>
      </c>
      <c r="F16" s="245">
        <f t="shared" si="0"/>
        <v>2000</v>
      </c>
    </row>
    <row r="17" spans="1:7" x14ac:dyDescent="0.25">
      <c r="A17" s="200" t="s">
        <v>137</v>
      </c>
      <c r="B17" s="200" t="s">
        <v>108</v>
      </c>
      <c r="C17" s="244" t="s">
        <v>5</v>
      </c>
      <c r="D17" s="245">
        <f>+'PRESUPUESTO P'!H20</f>
        <v>0</v>
      </c>
      <c r="E17" s="245">
        <f>+'PRESUPUESTO P'!E20</f>
        <v>1</v>
      </c>
      <c r="F17" s="245">
        <f t="shared" si="0"/>
        <v>0</v>
      </c>
    </row>
    <row r="18" spans="1:7" x14ac:dyDescent="0.25">
      <c r="A18" s="200" t="s">
        <v>138</v>
      </c>
      <c r="B18" s="200" t="s">
        <v>109</v>
      </c>
      <c r="C18" s="244" t="s">
        <v>5</v>
      </c>
      <c r="D18" s="245">
        <f>+'PRESUPUESTO P'!H21</f>
        <v>0</v>
      </c>
      <c r="E18" s="245">
        <f>+'PRESUPUESTO P'!E21</f>
        <v>1.2</v>
      </c>
      <c r="F18" s="245">
        <f t="shared" si="0"/>
        <v>0</v>
      </c>
    </row>
    <row r="19" spans="1:7" x14ac:dyDescent="0.25">
      <c r="A19" s="200" t="s">
        <v>139</v>
      </c>
      <c r="B19" s="200" t="s">
        <v>115</v>
      </c>
      <c r="C19" s="244" t="s">
        <v>6</v>
      </c>
      <c r="D19" s="245">
        <f>+'PRESUPUESTO P'!H22</f>
        <v>0</v>
      </c>
      <c r="E19" s="245">
        <f>+'PRESUPUESTO P'!E22</f>
        <v>300</v>
      </c>
      <c r="F19" s="245">
        <f t="shared" si="0"/>
        <v>0</v>
      </c>
    </row>
    <row r="20" spans="1:7" x14ac:dyDescent="0.25">
      <c r="A20" s="200" t="s">
        <v>140</v>
      </c>
      <c r="B20" s="200" t="s">
        <v>116</v>
      </c>
      <c r="C20" s="244" t="s">
        <v>6</v>
      </c>
      <c r="D20" s="245">
        <f>+'PRESUPUESTO P'!H23</f>
        <v>0</v>
      </c>
      <c r="E20" s="245">
        <f>+'PRESUPUESTO P'!E23</f>
        <v>300</v>
      </c>
      <c r="F20" s="245">
        <f t="shared" si="0"/>
        <v>0</v>
      </c>
    </row>
    <row r="21" spans="1:7" x14ac:dyDescent="0.25">
      <c r="A21" s="294" t="s">
        <v>84</v>
      </c>
      <c r="B21" s="294"/>
      <c r="C21" s="294"/>
      <c r="D21" s="294"/>
      <c r="E21" s="294"/>
      <c r="F21" s="248">
        <f>SUM(F5:F20)</f>
        <v>2060</v>
      </c>
      <c r="G21" s="246"/>
    </row>
    <row r="22" spans="1:7" x14ac:dyDescent="0.25">
      <c r="A22" s="299"/>
      <c r="B22" s="299"/>
      <c r="C22" s="299"/>
      <c r="D22" s="299"/>
      <c r="E22" s="299"/>
      <c r="F22" s="299"/>
    </row>
    <row r="23" spans="1:7" x14ac:dyDescent="0.25">
      <c r="A23" s="300" t="s">
        <v>231</v>
      </c>
      <c r="B23" s="300"/>
      <c r="C23" s="300"/>
      <c r="D23" s="300"/>
      <c r="E23" s="300"/>
      <c r="F23" s="300"/>
    </row>
    <row r="24" spans="1:7" x14ac:dyDescent="0.25">
      <c r="A24" s="242" t="s">
        <v>124</v>
      </c>
      <c r="B24" s="242" t="s">
        <v>0</v>
      </c>
      <c r="C24" s="36" t="s">
        <v>1</v>
      </c>
      <c r="D24" s="36" t="s">
        <v>2</v>
      </c>
      <c r="E24" s="36" t="s">
        <v>74</v>
      </c>
      <c r="F24" s="36" t="s">
        <v>3</v>
      </c>
    </row>
    <row r="25" spans="1:7" x14ac:dyDescent="0.25">
      <c r="A25" s="200" t="s">
        <v>141</v>
      </c>
      <c r="B25" s="200" t="str">
        <f>+B5</f>
        <v>Cable aislado 30 kV</v>
      </c>
      <c r="C25" s="200" t="str">
        <f t="shared" ref="C25:D25" si="1">+C5</f>
        <v>m</v>
      </c>
      <c r="D25" s="245">
        <f t="shared" si="1"/>
        <v>0</v>
      </c>
      <c r="E25" s="245">
        <f>+'PRESUPUESTO P'!E28</f>
        <v>1.0999999999999999</v>
      </c>
      <c r="F25" s="245">
        <f t="shared" ref="F25:F40" si="2">D25*E25</f>
        <v>0</v>
      </c>
    </row>
    <row r="26" spans="1:7" x14ac:dyDescent="0.25">
      <c r="A26" s="200" t="s">
        <v>142</v>
      </c>
      <c r="B26" s="200" t="str">
        <f t="shared" ref="B26:D40" si="3">+B6</f>
        <v>Cable aislado 220 kV</v>
      </c>
      <c r="C26" s="200" t="str">
        <f t="shared" si="3"/>
        <v>m</v>
      </c>
      <c r="D26" s="245">
        <f t="shared" si="3"/>
        <v>0</v>
      </c>
      <c r="E26" s="245">
        <f>+'PRESUPUESTO P'!E30</f>
        <v>6.5</v>
      </c>
      <c r="F26" s="245">
        <f t="shared" si="2"/>
        <v>0</v>
      </c>
    </row>
    <row r="27" spans="1:7" x14ac:dyDescent="0.25">
      <c r="A27" s="200" t="s">
        <v>143</v>
      </c>
      <c r="B27" s="200" t="str">
        <f t="shared" si="3"/>
        <v xml:space="preserve">Terminales 30 kV </v>
      </c>
      <c r="C27" s="200" t="str">
        <f t="shared" si="3"/>
        <v>ud</v>
      </c>
      <c r="D27" s="245">
        <f t="shared" si="3"/>
        <v>9</v>
      </c>
      <c r="E27" s="245">
        <f>+'PRESUPUESTO P'!E32</f>
        <v>220</v>
      </c>
      <c r="F27" s="245">
        <f t="shared" si="2"/>
        <v>1980</v>
      </c>
    </row>
    <row r="28" spans="1:7" x14ac:dyDescent="0.25">
      <c r="A28" s="200" t="s">
        <v>144</v>
      </c>
      <c r="B28" s="200" t="str">
        <f t="shared" si="3"/>
        <v xml:space="preserve">Terminales 220 kV </v>
      </c>
      <c r="C28" s="200" t="str">
        <f t="shared" si="3"/>
        <v>ud</v>
      </c>
      <c r="D28" s="245">
        <f t="shared" si="3"/>
        <v>0</v>
      </c>
      <c r="E28" s="245">
        <f>+'PRESUPUESTO P'!E33</f>
        <v>2600</v>
      </c>
      <c r="F28" s="245">
        <f t="shared" si="2"/>
        <v>0</v>
      </c>
    </row>
    <row r="29" spans="1:7" x14ac:dyDescent="0.25">
      <c r="A29" s="200" t="s">
        <v>145</v>
      </c>
      <c r="B29" s="200" t="str">
        <f t="shared" si="3"/>
        <v xml:space="preserve">Autoválvulas 220 kV </v>
      </c>
      <c r="C29" s="200" t="str">
        <f t="shared" si="3"/>
        <v>ud</v>
      </c>
      <c r="D29" s="245">
        <f t="shared" si="3"/>
        <v>0</v>
      </c>
      <c r="E29" s="245">
        <f>+'PRESUPUESTO P'!E34</f>
        <v>1300</v>
      </c>
      <c r="F29" s="245">
        <f t="shared" si="2"/>
        <v>0</v>
      </c>
    </row>
    <row r="30" spans="1:7" x14ac:dyDescent="0.25">
      <c r="A30" s="200" t="s">
        <v>146</v>
      </c>
      <c r="B30" s="200" t="str">
        <f t="shared" si="3"/>
        <v>Cámaras de empalmes 30 kV</v>
      </c>
      <c r="C30" s="200" t="str">
        <f t="shared" si="3"/>
        <v>ud</v>
      </c>
      <c r="D30" s="245">
        <f t="shared" si="3"/>
        <v>-1</v>
      </c>
      <c r="E30" s="245">
        <f>+'PRESUPUESTO P'!E35</f>
        <v>400</v>
      </c>
      <c r="F30" s="245">
        <f t="shared" si="2"/>
        <v>-400</v>
      </c>
    </row>
    <row r="31" spans="1:7" x14ac:dyDescent="0.25">
      <c r="A31" s="200" t="s">
        <v>147</v>
      </c>
      <c r="B31" s="200" t="str">
        <f t="shared" si="3"/>
        <v>Cámaras de empalmes 220 kV</v>
      </c>
      <c r="C31" s="200" t="str">
        <f t="shared" si="3"/>
        <v>ud</v>
      </c>
      <c r="D31" s="245">
        <f t="shared" si="3"/>
        <v>0</v>
      </c>
      <c r="E31" s="245">
        <f>+'PRESUPUESTO P'!E36</f>
        <v>3100</v>
      </c>
      <c r="F31" s="245">
        <f t="shared" si="2"/>
        <v>0</v>
      </c>
    </row>
    <row r="32" spans="1:7" x14ac:dyDescent="0.25">
      <c r="A32" s="200" t="s">
        <v>148</v>
      </c>
      <c r="B32" s="200" t="str">
        <f t="shared" si="3"/>
        <v>Empalmes 30 kV</v>
      </c>
      <c r="C32" s="200" t="str">
        <f t="shared" si="3"/>
        <v>ud</v>
      </c>
      <c r="D32" s="245">
        <f t="shared" si="3"/>
        <v>-6</v>
      </c>
      <c r="E32" s="245">
        <f>+'PRESUPUESTO P'!E37</f>
        <v>300</v>
      </c>
      <c r="F32" s="245">
        <f t="shared" si="2"/>
        <v>-1800</v>
      </c>
    </row>
    <row r="33" spans="1:7" x14ac:dyDescent="0.25">
      <c r="A33" s="200" t="s">
        <v>149</v>
      </c>
      <c r="B33" s="200" t="str">
        <f t="shared" si="3"/>
        <v>Empalmes 220 kV</v>
      </c>
      <c r="C33" s="200" t="str">
        <f t="shared" si="3"/>
        <v>ud</v>
      </c>
      <c r="D33" s="245">
        <f t="shared" si="3"/>
        <v>0</v>
      </c>
      <c r="E33" s="245">
        <f>+'PRESUPUESTO P'!E38</f>
        <v>2500</v>
      </c>
      <c r="F33" s="245">
        <f t="shared" si="2"/>
        <v>0</v>
      </c>
    </row>
    <row r="34" spans="1:7" x14ac:dyDescent="0.25">
      <c r="A34" s="200" t="s">
        <v>150</v>
      </c>
      <c r="B34" s="200" t="str">
        <f t="shared" si="3"/>
        <v>Caja de puesta a tierra 30 kV</v>
      </c>
      <c r="C34" s="200" t="str">
        <f t="shared" si="3"/>
        <v>ud</v>
      </c>
      <c r="D34" s="245">
        <f t="shared" si="3"/>
        <v>0</v>
      </c>
      <c r="E34" s="245">
        <f>+'PRESUPUESTO P'!E39</f>
        <v>220</v>
      </c>
      <c r="F34" s="245">
        <f t="shared" si="2"/>
        <v>0</v>
      </c>
    </row>
    <row r="35" spans="1:7" x14ac:dyDescent="0.25">
      <c r="A35" s="200" t="s">
        <v>151</v>
      </c>
      <c r="B35" s="200" t="str">
        <f t="shared" si="3"/>
        <v>Caja de puesta a tierra 220 kV</v>
      </c>
      <c r="C35" s="200" t="str">
        <f t="shared" si="3"/>
        <v>ud</v>
      </c>
      <c r="D35" s="245">
        <f t="shared" si="3"/>
        <v>0</v>
      </c>
      <c r="E35" s="245">
        <f>+'PRESUPUESTO P'!E41</f>
        <v>900</v>
      </c>
      <c r="F35" s="245">
        <f t="shared" si="2"/>
        <v>0</v>
      </c>
    </row>
    <row r="36" spans="1:7" x14ac:dyDescent="0.25">
      <c r="A36" s="200" t="s">
        <v>152</v>
      </c>
      <c r="B36" s="200" t="str">
        <f t="shared" si="3"/>
        <v>Pequeño material p.a.t pantallas</v>
      </c>
      <c r="C36" s="200" t="str">
        <f t="shared" si="3"/>
        <v>ud</v>
      </c>
      <c r="D36" s="245">
        <f t="shared" si="3"/>
        <v>2</v>
      </c>
      <c r="E36" s="245">
        <f>+'PRESUPUESTO P'!E42</f>
        <v>400</v>
      </c>
      <c r="F36" s="245">
        <f t="shared" si="2"/>
        <v>800</v>
      </c>
    </row>
    <row r="37" spans="1:7" x14ac:dyDescent="0.25">
      <c r="A37" s="200" t="s">
        <v>153</v>
      </c>
      <c r="B37" s="200" t="str">
        <f t="shared" si="3"/>
        <v>Cable comunicaciones FO ccto 30 kV</v>
      </c>
      <c r="C37" s="200" t="str">
        <f t="shared" si="3"/>
        <v>m</v>
      </c>
      <c r="D37" s="245">
        <f t="shared" si="3"/>
        <v>0</v>
      </c>
      <c r="E37" s="245">
        <f>+'PRESUPUESTO P'!E43</f>
        <v>1.9</v>
      </c>
      <c r="F37" s="245">
        <f t="shared" si="2"/>
        <v>0</v>
      </c>
    </row>
    <row r="38" spans="1:7" x14ac:dyDescent="0.25">
      <c r="A38" s="200" t="s">
        <v>154</v>
      </c>
      <c r="B38" s="200" t="str">
        <f t="shared" si="3"/>
        <v>Cable comunicaciones FO ccto 220 kV</v>
      </c>
      <c r="C38" s="200" t="str">
        <f t="shared" si="3"/>
        <v>m</v>
      </c>
      <c r="D38" s="245">
        <f t="shared" si="3"/>
        <v>0</v>
      </c>
      <c r="E38" s="245">
        <f>+'PRESUPUESTO P'!E44</f>
        <v>2.8</v>
      </c>
      <c r="F38" s="245">
        <f t="shared" si="2"/>
        <v>0</v>
      </c>
    </row>
    <row r="39" spans="1:7" x14ac:dyDescent="0.25">
      <c r="A39" s="200" t="s">
        <v>155</v>
      </c>
      <c r="B39" s="200" t="str">
        <f t="shared" si="3"/>
        <v>Cajas empalme FO FO ccto 30 kV</v>
      </c>
      <c r="C39" s="200" t="str">
        <f t="shared" si="3"/>
        <v>ud</v>
      </c>
      <c r="D39" s="245">
        <f t="shared" si="3"/>
        <v>0</v>
      </c>
      <c r="E39" s="245">
        <f>+'PRESUPUESTO P'!E45</f>
        <v>400</v>
      </c>
      <c r="F39" s="245">
        <f t="shared" si="2"/>
        <v>0</v>
      </c>
    </row>
    <row r="40" spans="1:7" x14ac:dyDescent="0.25">
      <c r="A40" s="200" t="s">
        <v>156</v>
      </c>
      <c r="B40" s="200" t="str">
        <f t="shared" si="3"/>
        <v>Cajas empalme FO FO ccto 220 kV</v>
      </c>
      <c r="C40" s="200" t="str">
        <f t="shared" si="3"/>
        <v>ud</v>
      </c>
      <c r="D40" s="245">
        <f t="shared" si="3"/>
        <v>0</v>
      </c>
      <c r="E40" s="245">
        <f>+'PRESUPUESTO P'!E46</f>
        <v>600</v>
      </c>
      <c r="F40" s="245">
        <f t="shared" si="2"/>
        <v>0</v>
      </c>
    </row>
    <row r="41" spans="1:7" x14ac:dyDescent="0.25">
      <c r="A41" s="294" t="s">
        <v>85</v>
      </c>
      <c r="B41" s="294"/>
      <c r="C41" s="294"/>
      <c r="D41" s="294"/>
      <c r="E41" s="294"/>
      <c r="F41" s="248">
        <f>SUM(F25:F40)</f>
        <v>580</v>
      </c>
      <c r="G41" s="246"/>
    </row>
    <row r="42" spans="1:7" x14ac:dyDescent="0.25">
      <c r="A42" s="299"/>
      <c r="B42" s="299"/>
      <c r="C42" s="299"/>
      <c r="D42" s="299"/>
      <c r="E42" s="299"/>
      <c r="F42" s="299"/>
    </row>
    <row r="43" spans="1:7" x14ac:dyDescent="0.25">
      <c r="A43" s="300" t="s">
        <v>230</v>
      </c>
      <c r="B43" s="300"/>
      <c r="C43" s="300"/>
      <c r="D43" s="300"/>
      <c r="E43" s="300"/>
      <c r="F43" s="300"/>
    </row>
    <row r="44" spans="1:7" x14ac:dyDescent="0.25">
      <c r="A44" s="242" t="s">
        <v>124</v>
      </c>
      <c r="B44" s="242" t="s">
        <v>0</v>
      </c>
      <c r="C44" s="36" t="s">
        <v>1</v>
      </c>
      <c r="D44" s="36" t="s">
        <v>2</v>
      </c>
      <c r="E44" s="36" t="s">
        <v>74</v>
      </c>
      <c r="F44" s="36" t="s">
        <v>3</v>
      </c>
    </row>
    <row r="45" spans="1:7" ht="38.25" x14ac:dyDescent="0.25">
      <c r="A45" s="200" t="s">
        <v>157</v>
      </c>
      <c r="B45" s="200" t="s">
        <v>164</v>
      </c>
      <c r="C45" s="244" t="s">
        <v>5</v>
      </c>
      <c r="D45" s="245">
        <f>+'PRESUPUESTO P'!H51</f>
        <v>0</v>
      </c>
      <c r="E45" s="245">
        <f>+'PRESUPUESTO P'!E51</f>
        <v>24</v>
      </c>
      <c r="F45" s="245">
        <f t="shared" ref="F45:F50" si="4">D45*E45</f>
        <v>0</v>
      </c>
    </row>
    <row r="46" spans="1:7" ht="38.25" x14ac:dyDescent="0.25">
      <c r="A46" s="200" t="s">
        <v>158</v>
      </c>
      <c r="B46" s="200" t="s">
        <v>549</v>
      </c>
      <c r="C46" s="244" t="s">
        <v>5</v>
      </c>
      <c r="D46" s="245">
        <f>+'PRESUPUESTO P'!H52</f>
        <v>0</v>
      </c>
      <c r="E46" s="245">
        <f>+'PRESUPUESTO P'!E52</f>
        <v>80</v>
      </c>
      <c r="F46" s="245">
        <f t="shared" si="4"/>
        <v>0</v>
      </c>
    </row>
    <row r="47" spans="1:7" x14ac:dyDescent="0.25">
      <c r="A47" s="200" t="s">
        <v>159</v>
      </c>
      <c r="B47" s="200" t="s">
        <v>162</v>
      </c>
      <c r="C47" s="244" t="s">
        <v>5</v>
      </c>
      <c r="D47" s="245">
        <f>+'PRESUPUESTO P'!H53</f>
        <v>0</v>
      </c>
      <c r="E47" s="245">
        <f>+'PRESUPUESTO P'!E53</f>
        <v>250</v>
      </c>
      <c r="F47" s="245">
        <f t="shared" si="4"/>
        <v>0</v>
      </c>
    </row>
    <row r="48" spans="1:7" x14ac:dyDescent="0.25">
      <c r="A48" s="200" t="s">
        <v>160</v>
      </c>
      <c r="B48" s="200" t="s">
        <v>163</v>
      </c>
      <c r="C48" s="244" t="s">
        <v>5</v>
      </c>
      <c r="D48" s="245">
        <f>+'PRESUPUESTO P'!H54</f>
        <v>0</v>
      </c>
      <c r="E48" s="245">
        <f>+'PRESUPUESTO P'!E54</f>
        <v>1300</v>
      </c>
      <c r="F48" s="245">
        <f t="shared" si="4"/>
        <v>0</v>
      </c>
    </row>
    <row r="49" spans="1:6" x14ac:dyDescent="0.25">
      <c r="A49" s="200" t="s">
        <v>161</v>
      </c>
      <c r="B49" s="200" t="str">
        <f>+B10</f>
        <v>Cámaras de empalmes 30 kV</v>
      </c>
      <c r="C49" s="244" t="s">
        <v>6</v>
      </c>
      <c r="D49" s="245">
        <f>+'PRESUPUESTO P'!H55</f>
        <v>-6</v>
      </c>
      <c r="E49" s="245">
        <f>+'PRESUPUESTO P'!E55</f>
        <v>400</v>
      </c>
      <c r="F49" s="245">
        <f t="shared" si="4"/>
        <v>-2400</v>
      </c>
    </row>
    <row r="50" spans="1:6" x14ac:dyDescent="0.25">
      <c r="A50" s="200" t="s">
        <v>165</v>
      </c>
      <c r="B50" s="200" t="str">
        <f>+B11</f>
        <v>Cámaras de empalmes 220 kV</v>
      </c>
      <c r="C50" s="244" t="s">
        <v>6</v>
      </c>
      <c r="D50" s="245">
        <f>+'PRESUPUESTO P'!H56</f>
        <v>0</v>
      </c>
      <c r="E50" s="245">
        <f>+'PRESUPUESTO P'!E56</f>
        <v>7500</v>
      </c>
      <c r="F50" s="245">
        <f t="shared" si="4"/>
        <v>0</v>
      </c>
    </row>
    <row r="51" spans="1:6" x14ac:dyDescent="0.25">
      <c r="A51" s="294" t="s">
        <v>86</v>
      </c>
      <c r="B51" s="294"/>
      <c r="C51" s="294"/>
      <c r="D51" s="294"/>
      <c r="E51" s="294"/>
      <c r="F51" s="248">
        <f>SUM(F45:F50)</f>
        <v>-2400</v>
      </c>
    </row>
    <row r="52" spans="1:6" x14ac:dyDescent="0.25">
      <c r="A52" s="294" t="s">
        <v>234</v>
      </c>
      <c r="B52" s="294"/>
      <c r="C52" s="294"/>
      <c r="D52" s="294"/>
      <c r="E52" s="294"/>
      <c r="F52" s="248">
        <f>+F51+F41+F21</f>
        <v>240</v>
      </c>
    </row>
    <row r="53" spans="1:6" x14ac:dyDescent="0.25">
      <c r="A53" s="299"/>
      <c r="B53" s="299"/>
      <c r="C53" s="299"/>
      <c r="D53" s="299"/>
      <c r="E53" s="299"/>
      <c r="F53" s="299"/>
    </row>
    <row r="54" spans="1:6" x14ac:dyDescent="0.25">
      <c r="A54" s="300" t="s">
        <v>166</v>
      </c>
      <c r="B54" s="300"/>
      <c r="C54" s="300"/>
      <c r="D54" s="300"/>
      <c r="E54" s="300"/>
      <c r="F54" s="300"/>
    </row>
    <row r="55" spans="1:6" x14ac:dyDescent="0.25">
      <c r="A55" s="300" t="s">
        <v>229</v>
      </c>
      <c r="B55" s="300"/>
      <c r="C55" s="300"/>
      <c r="D55" s="300"/>
      <c r="E55" s="300"/>
      <c r="F55" s="300"/>
    </row>
    <row r="56" spans="1:6" x14ac:dyDescent="0.25">
      <c r="A56" s="242" t="s">
        <v>124</v>
      </c>
      <c r="B56" s="242" t="s">
        <v>0</v>
      </c>
      <c r="C56" s="36" t="s">
        <v>1</v>
      </c>
      <c r="D56" s="36" t="s">
        <v>2</v>
      </c>
      <c r="E56" s="36" t="s">
        <v>74</v>
      </c>
      <c r="F56" s="36" t="s">
        <v>3</v>
      </c>
    </row>
    <row r="57" spans="1:6" ht="25.5" x14ac:dyDescent="0.25">
      <c r="A57" s="200" t="s">
        <v>167</v>
      </c>
      <c r="B57" s="201" t="s">
        <v>168</v>
      </c>
      <c r="C57" s="244" t="s">
        <v>514</v>
      </c>
      <c r="D57" s="245">
        <f>+'PRESUPUESTO P'!H63</f>
        <v>0</v>
      </c>
      <c r="E57" s="245">
        <f>+'PRESUPUESTO P'!E63</f>
        <v>750</v>
      </c>
      <c r="F57" s="245">
        <f t="shared" ref="F57:F90" si="5">D57*E57</f>
        <v>0</v>
      </c>
    </row>
    <row r="58" spans="1:6" x14ac:dyDescent="0.25">
      <c r="A58" s="200" t="s">
        <v>192</v>
      </c>
      <c r="B58" s="201" t="s">
        <v>169</v>
      </c>
      <c r="C58" s="244" t="s">
        <v>4</v>
      </c>
      <c r="D58" s="245">
        <f>+'PRESUPUESTO P'!H64</f>
        <v>0</v>
      </c>
      <c r="E58" s="245">
        <f>+'PRESUPUESTO P'!E64</f>
        <v>1.8</v>
      </c>
      <c r="F58" s="245">
        <f t="shared" si="5"/>
        <v>0</v>
      </c>
    </row>
    <row r="59" spans="1:6" x14ac:dyDescent="0.25">
      <c r="A59" s="200" t="s">
        <v>193</v>
      </c>
      <c r="B59" s="201" t="s">
        <v>170</v>
      </c>
      <c r="C59" s="244" t="s">
        <v>4</v>
      </c>
      <c r="D59" s="245">
        <f>+'PRESUPUESTO P'!H65</f>
        <v>0</v>
      </c>
      <c r="E59" s="245">
        <f>+'PRESUPUESTO P'!E65</f>
        <v>1.8</v>
      </c>
      <c r="F59" s="245">
        <f t="shared" si="5"/>
        <v>0</v>
      </c>
    </row>
    <row r="60" spans="1:6" x14ac:dyDescent="0.25">
      <c r="A60" s="200" t="s">
        <v>194</v>
      </c>
      <c r="B60" s="201" t="s">
        <v>172</v>
      </c>
      <c r="C60" s="244" t="s">
        <v>4</v>
      </c>
      <c r="D60" s="245">
        <f>+'PRESUPUESTO P'!H66</f>
        <v>0</v>
      </c>
      <c r="E60" s="245">
        <f>+'PRESUPUESTO P'!E66</f>
        <v>2.0880000000000001</v>
      </c>
      <c r="F60" s="245">
        <f t="shared" si="5"/>
        <v>0</v>
      </c>
    </row>
    <row r="61" spans="1:6" x14ac:dyDescent="0.25">
      <c r="A61" s="200" t="s">
        <v>195</v>
      </c>
      <c r="B61" s="201" t="s">
        <v>171</v>
      </c>
      <c r="C61" s="244" t="s">
        <v>5</v>
      </c>
      <c r="D61" s="245">
        <f>+'PRESUPUESTO P'!H67</f>
        <v>0</v>
      </c>
      <c r="E61" s="245">
        <f>+'PRESUPUESTO P'!E67</f>
        <v>1.6</v>
      </c>
      <c r="F61" s="245">
        <f t="shared" si="5"/>
        <v>0</v>
      </c>
    </row>
    <row r="62" spans="1:6" x14ac:dyDescent="0.25">
      <c r="A62" s="200" t="s">
        <v>196</v>
      </c>
      <c r="B62" s="201" t="s">
        <v>173</v>
      </c>
      <c r="C62" s="244" t="s">
        <v>5</v>
      </c>
      <c r="D62" s="245">
        <f>+'PRESUPUESTO P'!H68</f>
        <v>0</v>
      </c>
      <c r="E62" s="245">
        <f>+'PRESUPUESTO P'!E68</f>
        <v>1.6</v>
      </c>
      <c r="F62" s="245">
        <f t="shared" si="5"/>
        <v>0</v>
      </c>
    </row>
    <row r="63" spans="1:6" ht="25.5" x14ac:dyDescent="0.25">
      <c r="A63" s="200" t="s">
        <v>197</v>
      </c>
      <c r="B63" s="201" t="s">
        <v>175</v>
      </c>
      <c r="C63" s="244" t="s">
        <v>6</v>
      </c>
      <c r="D63" s="245">
        <f>+'PRESUPUESTO P'!H69</f>
        <v>0</v>
      </c>
      <c r="E63" s="245">
        <f>+'PRESUPUESTO P'!E69</f>
        <v>20</v>
      </c>
      <c r="F63" s="245">
        <f t="shared" si="5"/>
        <v>0</v>
      </c>
    </row>
    <row r="64" spans="1:6" ht="38.25" x14ac:dyDescent="0.25">
      <c r="A64" s="200" t="s">
        <v>198</v>
      </c>
      <c r="B64" s="201" t="s">
        <v>177</v>
      </c>
      <c r="C64" s="244" t="s">
        <v>6</v>
      </c>
      <c r="D64" s="245">
        <f>+'PRESUPUESTO P'!H70</f>
        <v>0</v>
      </c>
      <c r="E64" s="245">
        <f>+'PRESUPUESTO P'!E70</f>
        <v>65</v>
      </c>
      <c r="F64" s="245">
        <f t="shared" si="5"/>
        <v>0</v>
      </c>
    </row>
    <row r="65" spans="1:6" ht="25.5" x14ac:dyDescent="0.25">
      <c r="A65" s="200" t="s">
        <v>199</v>
      </c>
      <c r="B65" s="201" t="s">
        <v>174</v>
      </c>
      <c r="C65" s="244" t="s">
        <v>6</v>
      </c>
      <c r="D65" s="245">
        <f>+'PRESUPUESTO P'!H71</f>
        <v>0</v>
      </c>
      <c r="E65" s="245">
        <f>+'PRESUPUESTO P'!E71</f>
        <v>85</v>
      </c>
      <c r="F65" s="245">
        <f t="shared" si="5"/>
        <v>0</v>
      </c>
    </row>
    <row r="66" spans="1:6" ht="25.5" x14ac:dyDescent="0.25">
      <c r="A66" s="200" t="s">
        <v>200</v>
      </c>
      <c r="B66" s="201" t="s">
        <v>176</v>
      </c>
      <c r="C66" s="244" t="s">
        <v>6</v>
      </c>
      <c r="D66" s="245">
        <f>+'PRESUPUESTO P'!H72</f>
        <v>0</v>
      </c>
      <c r="E66" s="245">
        <f>+'PRESUPUESTO P'!E72</f>
        <v>101</v>
      </c>
      <c r="F66" s="245">
        <f t="shared" si="5"/>
        <v>0</v>
      </c>
    </row>
    <row r="67" spans="1:6" ht="25.5" x14ac:dyDescent="0.25">
      <c r="A67" s="200" t="s">
        <v>201</v>
      </c>
      <c r="B67" s="201" t="s">
        <v>179</v>
      </c>
      <c r="C67" s="244" t="s">
        <v>6</v>
      </c>
      <c r="D67" s="245">
        <f>+'PRESUPUESTO P'!H73</f>
        <v>0</v>
      </c>
      <c r="E67" s="245">
        <f>+'PRESUPUESTO P'!E73</f>
        <v>240</v>
      </c>
      <c r="F67" s="245">
        <f t="shared" si="5"/>
        <v>0</v>
      </c>
    </row>
    <row r="68" spans="1:6" ht="38.25" x14ac:dyDescent="0.25">
      <c r="A68" s="200" t="s">
        <v>202</v>
      </c>
      <c r="B68" s="201" t="s">
        <v>178</v>
      </c>
      <c r="C68" s="244" t="s">
        <v>6</v>
      </c>
      <c r="D68" s="245">
        <f>+'PRESUPUESTO P'!H74</f>
        <v>0</v>
      </c>
      <c r="E68" s="245">
        <f>+'PRESUPUESTO P'!E74</f>
        <v>264</v>
      </c>
      <c r="F68" s="245">
        <f t="shared" si="5"/>
        <v>0</v>
      </c>
    </row>
    <row r="69" spans="1:6" ht="25.5" x14ac:dyDescent="0.25">
      <c r="A69" s="200" t="s">
        <v>203</v>
      </c>
      <c r="B69" s="201" t="s">
        <v>539</v>
      </c>
      <c r="C69" s="244" t="s">
        <v>6</v>
      </c>
      <c r="D69" s="245">
        <f>+'PRESUPUESTO P'!H75</f>
        <v>0</v>
      </c>
      <c r="E69" s="245">
        <f>+'PRESUPUESTO P'!E75</f>
        <v>290.40000000000003</v>
      </c>
      <c r="F69" s="245">
        <f t="shared" si="5"/>
        <v>0</v>
      </c>
    </row>
    <row r="70" spans="1:6" ht="25.5" x14ac:dyDescent="0.25">
      <c r="A70" s="200" t="s">
        <v>204</v>
      </c>
      <c r="B70" s="201" t="s">
        <v>181</v>
      </c>
      <c r="C70" s="244" t="s">
        <v>6</v>
      </c>
      <c r="D70" s="245">
        <f>+'PRESUPUESTO P'!H76</f>
        <v>0</v>
      </c>
      <c r="E70" s="245">
        <f>+'PRESUPUESTO P'!E76</f>
        <v>377.52000000000004</v>
      </c>
      <c r="F70" s="245">
        <f t="shared" si="5"/>
        <v>0</v>
      </c>
    </row>
    <row r="71" spans="1:6" x14ac:dyDescent="0.25">
      <c r="A71" s="200" t="s">
        <v>205</v>
      </c>
      <c r="B71" s="201" t="s">
        <v>182</v>
      </c>
      <c r="C71" s="244" t="s">
        <v>6</v>
      </c>
      <c r="D71" s="245">
        <f>+'PRESUPUESTO P'!H77</f>
        <v>0</v>
      </c>
      <c r="E71" s="245">
        <f>+'PRESUPUESTO P'!E77</f>
        <v>250</v>
      </c>
      <c r="F71" s="245">
        <f t="shared" si="5"/>
        <v>0</v>
      </c>
    </row>
    <row r="72" spans="1:6" ht="38.25" x14ac:dyDescent="0.25">
      <c r="A72" s="200" t="s">
        <v>206</v>
      </c>
      <c r="B72" s="201" t="s">
        <v>183</v>
      </c>
      <c r="C72" s="244" t="s">
        <v>6</v>
      </c>
      <c r="D72" s="245">
        <f>+'PRESUPUESTO P'!H78</f>
        <v>0</v>
      </c>
      <c r="E72" s="245">
        <f>+'PRESUPUESTO P'!E78</f>
        <v>275</v>
      </c>
      <c r="F72" s="245">
        <f t="shared" si="5"/>
        <v>0</v>
      </c>
    </row>
    <row r="73" spans="1:6" x14ac:dyDescent="0.25">
      <c r="A73" s="200" t="s">
        <v>207</v>
      </c>
      <c r="B73" s="201" t="s">
        <v>184</v>
      </c>
      <c r="C73" s="244" t="s">
        <v>6</v>
      </c>
      <c r="D73" s="245">
        <f>+'PRESUPUESTO P'!H79</f>
        <v>0</v>
      </c>
      <c r="E73" s="245">
        <f>+'PRESUPUESTO P'!E79</f>
        <v>302.5</v>
      </c>
      <c r="F73" s="245">
        <f t="shared" si="5"/>
        <v>0</v>
      </c>
    </row>
    <row r="74" spans="1:6" x14ac:dyDescent="0.25">
      <c r="A74" s="200" t="s">
        <v>208</v>
      </c>
      <c r="B74" s="201" t="s">
        <v>185</v>
      </c>
      <c r="C74" s="244" t="s">
        <v>6</v>
      </c>
      <c r="D74" s="245">
        <f>+'PRESUPUESTO P'!H80</f>
        <v>0</v>
      </c>
      <c r="E74" s="245">
        <f>+'PRESUPUESTO P'!E80</f>
        <v>393.25</v>
      </c>
      <c r="F74" s="245">
        <f t="shared" si="5"/>
        <v>0</v>
      </c>
    </row>
    <row r="75" spans="1:6" ht="25.5" x14ac:dyDescent="0.25">
      <c r="A75" s="200" t="s">
        <v>209</v>
      </c>
      <c r="B75" s="201" t="s">
        <v>189</v>
      </c>
      <c r="C75" s="244" t="s">
        <v>6</v>
      </c>
      <c r="D75" s="245">
        <f>+'PRESUPUESTO P'!H81</f>
        <v>0</v>
      </c>
      <c r="E75" s="245">
        <f>+'PRESUPUESTO P'!E81</f>
        <v>40</v>
      </c>
      <c r="F75" s="245">
        <f t="shared" si="5"/>
        <v>0</v>
      </c>
    </row>
    <row r="76" spans="1:6" ht="25.5" x14ac:dyDescent="0.25">
      <c r="A76" s="200" t="s">
        <v>210</v>
      </c>
      <c r="B76" s="201" t="s">
        <v>190</v>
      </c>
      <c r="C76" s="244" t="s">
        <v>6</v>
      </c>
      <c r="D76" s="245">
        <f>+'PRESUPUESTO P'!H82</f>
        <v>0</v>
      </c>
      <c r="E76" s="245">
        <f>+'PRESUPUESTO P'!E82</f>
        <v>40</v>
      </c>
      <c r="F76" s="245">
        <f t="shared" si="5"/>
        <v>0</v>
      </c>
    </row>
    <row r="77" spans="1:6" ht="25.5" x14ac:dyDescent="0.25">
      <c r="A77" s="200" t="s">
        <v>211</v>
      </c>
      <c r="B77" s="201" t="s">
        <v>191</v>
      </c>
      <c r="C77" s="244" t="s">
        <v>6</v>
      </c>
      <c r="D77" s="245">
        <f>+'PRESUPUESTO P'!H83</f>
        <v>0</v>
      </c>
      <c r="E77" s="245">
        <f>+'PRESUPUESTO P'!E83</f>
        <v>40</v>
      </c>
      <c r="F77" s="245">
        <f t="shared" si="5"/>
        <v>0</v>
      </c>
    </row>
    <row r="78" spans="1:6" ht="25.5" x14ac:dyDescent="0.25">
      <c r="A78" s="200" t="s">
        <v>212</v>
      </c>
      <c r="B78" s="201" t="s">
        <v>186</v>
      </c>
      <c r="C78" s="244" t="s">
        <v>6</v>
      </c>
      <c r="D78" s="245">
        <f>+'PRESUPUESTO P'!H84</f>
        <v>0</v>
      </c>
      <c r="E78" s="245">
        <f>+'PRESUPUESTO P'!E84</f>
        <v>52</v>
      </c>
      <c r="F78" s="245">
        <f t="shared" si="5"/>
        <v>0</v>
      </c>
    </row>
    <row r="79" spans="1:6" ht="25.5" x14ac:dyDescent="0.25">
      <c r="A79" s="200" t="s">
        <v>213</v>
      </c>
      <c r="B79" s="201" t="s">
        <v>187</v>
      </c>
      <c r="C79" s="244" t="s">
        <v>6</v>
      </c>
      <c r="D79" s="245">
        <f>+'PRESUPUESTO P'!H85</f>
        <v>0</v>
      </c>
      <c r="E79" s="245">
        <f>+'PRESUPUESTO P'!E85</f>
        <v>52</v>
      </c>
      <c r="F79" s="245">
        <f t="shared" si="5"/>
        <v>0</v>
      </c>
    </row>
    <row r="80" spans="1:6" ht="25.5" x14ac:dyDescent="0.25">
      <c r="A80" s="200" t="s">
        <v>214</v>
      </c>
      <c r="B80" s="201" t="s">
        <v>188</v>
      </c>
      <c r="C80" s="244" t="s">
        <v>6</v>
      </c>
      <c r="D80" s="245">
        <f>+'PRESUPUESTO P'!H86</f>
        <v>0</v>
      </c>
      <c r="E80" s="245">
        <f>+'PRESUPUESTO P'!E86</f>
        <v>52</v>
      </c>
      <c r="F80" s="245">
        <f t="shared" si="5"/>
        <v>0</v>
      </c>
    </row>
    <row r="81" spans="1:6" x14ac:dyDescent="0.25">
      <c r="A81" s="200" t="s">
        <v>215</v>
      </c>
      <c r="B81" s="201" t="s">
        <v>217</v>
      </c>
      <c r="C81" s="244" t="s">
        <v>6</v>
      </c>
      <c r="D81" s="245">
        <f>+'PRESUPUESTO P'!H87</f>
        <v>0</v>
      </c>
      <c r="E81" s="245">
        <f>+'PRESUPUESTO P'!E87</f>
        <v>12</v>
      </c>
      <c r="F81" s="245">
        <f t="shared" si="5"/>
        <v>0</v>
      </c>
    </row>
    <row r="82" spans="1:6" ht="25.5" x14ac:dyDescent="0.25">
      <c r="A82" s="200" t="s">
        <v>216</v>
      </c>
      <c r="B82" s="201" t="s">
        <v>604</v>
      </c>
      <c r="C82" s="244" t="s">
        <v>6</v>
      </c>
      <c r="D82" s="245">
        <f>+'PRESUPUESTO P'!H88</f>
        <v>0</v>
      </c>
      <c r="E82" s="245">
        <f>+'PRESUPUESTO P'!E88</f>
        <v>12</v>
      </c>
      <c r="F82" s="245">
        <f t="shared" si="5"/>
        <v>0</v>
      </c>
    </row>
    <row r="83" spans="1:6" ht="25.5" x14ac:dyDescent="0.25">
      <c r="A83" s="200" t="s">
        <v>220</v>
      </c>
      <c r="B83" s="201" t="s">
        <v>605</v>
      </c>
      <c r="C83" s="244" t="s">
        <v>6</v>
      </c>
      <c r="D83" s="245">
        <f>+'PRESUPUESTO P'!H89</f>
        <v>0</v>
      </c>
      <c r="E83" s="245">
        <f>+'PRESUPUESTO P'!E89</f>
        <v>12</v>
      </c>
      <c r="F83" s="245">
        <f t="shared" si="5"/>
        <v>0</v>
      </c>
    </row>
    <row r="84" spans="1:6" ht="25.5" x14ac:dyDescent="0.25">
      <c r="A84" s="200" t="s">
        <v>551</v>
      </c>
      <c r="B84" s="201" t="s">
        <v>606</v>
      </c>
      <c r="C84" s="244" t="s">
        <v>6</v>
      </c>
      <c r="D84" s="245">
        <f>+'PRESUPUESTO P'!H90</f>
        <v>0</v>
      </c>
      <c r="E84" s="245">
        <f>+'PRESUPUESTO P'!E90</f>
        <v>25.200000000000003</v>
      </c>
      <c r="F84" s="245">
        <f t="shared" si="5"/>
        <v>0</v>
      </c>
    </row>
    <row r="85" spans="1:6" x14ac:dyDescent="0.25">
      <c r="A85" s="200" t="s">
        <v>552</v>
      </c>
      <c r="B85" s="201" t="s">
        <v>607</v>
      </c>
      <c r="C85" s="244" t="s">
        <v>6</v>
      </c>
      <c r="D85" s="245">
        <f>+'PRESUPUESTO P'!H91</f>
        <v>0</v>
      </c>
      <c r="E85" s="245">
        <f>+'PRESUPUESTO P'!E91</f>
        <v>12</v>
      </c>
      <c r="F85" s="245">
        <f t="shared" si="5"/>
        <v>0</v>
      </c>
    </row>
    <row r="86" spans="1:6" x14ac:dyDescent="0.25">
      <c r="A86" s="200" t="s">
        <v>553</v>
      </c>
      <c r="B86" s="201" t="s">
        <v>608</v>
      </c>
      <c r="C86" s="244" t="s">
        <v>6</v>
      </c>
      <c r="D86" s="245">
        <f>+'PRESUPUESTO P'!H92</f>
        <v>0</v>
      </c>
      <c r="E86" s="245">
        <f>+'PRESUPUESTO P'!E92</f>
        <v>12</v>
      </c>
      <c r="F86" s="245">
        <f t="shared" si="5"/>
        <v>0</v>
      </c>
    </row>
    <row r="87" spans="1:6" x14ac:dyDescent="0.25">
      <c r="A87" s="200" t="s">
        <v>554</v>
      </c>
      <c r="B87" s="201" t="s">
        <v>218</v>
      </c>
      <c r="C87" s="244" t="s">
        <v>6</v>
      </c>
      <c r="D87" s="245">
        <f>+'PRESUPUESTO P'!H93</f>
        <v>0</v>
      </c>
      <c r="E87" s="245">
        <f>+'PRESUPUESTO P'!E93</f>
        <v>11</v>
      </c>
      <c r="F87" s="245">
        <f t="shared" si="5"/>
        <v>0</v>
      </c>
    </row>
    <row r="88" spans="1:6" x14ac:dyDescent="0.25">
      <c r="A88" s="200" t="s">
        <v>557</v>
      </c>
      <c r="B88" s="201" t="s">
        <v>219</v>
      </c>
      <c r="C88" s="244" t="s">
        <v>6</v>
      </c>
      <c r="D88" s="245">
        <f>+'PRESUPUESTO P'!H94</f>
        <v>0</v>
      </c>
      <c r="E88" s="245">
        <f>+'PRESUPUESTO P'!E94</f>
        <v>11</v>
      </c>
      <c r="F88" s="245">
        <f t="shared" si="5"/>
        <v>0</v>
      </c>
    </row>
    <row r="89" spans="1:6" x14ac:dyDescent="0.25">
      <c r="A89" s="200" t="s">
        <v>558</v>
      </c>
      <c r="B89" s="201" t="s">
        <v>221</v>
      </c>
      <c r="C89" s="244" t="s">
        <v>6</v>
      </c>
      <c r="D89" s="245">
        <f>+'PRESUPUESTO P'!H95</f>
        <v>0</v>
      </c>
      <c r="E89" s="245">
        <f>+'PRESUPUESTO P'!E95</f>
        <v>120</v>
      </c>
      <c r="F89" s="245">
        <f t="shared" si="5"/>
        <v>0</v>
      </c>
    </row>
    <row r="90" spans="1:6" x14ac:dyDescent="0.25">
      <c r="A90" s="200" t="s">
        <v>561</v>
      </c>
      <c r="B90" s="201" t="s">
        <v>562</v>
      </c>
      <c r="C90" s="244" t="s">
        <v>6</v>
      </c>
      <c r="D90" s="245">
        <f>+'PRESUPUESTO P'!H96</f>
        <v>0</v>
      </c>
      <c r="E90" s="245">
        <f>+'PRESUPUESTO P'!E96</f>
        <v>500</v>
      </c>
      <c r="F90" s="245">
        <f t="shared" si="5"/>
        <v>0</v>
      </c>
    </row>
    <row r="91" spans="1:6" x14ac:dyDescent="0.25">
      <c r="A91" s="294" t="s">
        <v>78</v>
      </c>
      <c r="B91" s="294"/>
      <c r="C91" s="294"/>
      <c r="D91" s="294"/>
      <c r="E91" s="294"/>
      <c r="F91" s="248">
        <f>SUM(F57:F90)</f>
        <v>0</v>
      </c>
    </row>
    <row r="92" spans="1:6" x14ac:dyDescent="0.25">
      <c r="A92" s="299"/>
      <c r="B92" s="299"/>
      <c r="C92" s="299"/>
      <c r="D92" s="299"/>
      <c r="E92" s="299"/>
      <c r="F92" s="299"/>
    </row>
    <row r="93" spans="1:6" x14ac:dyDescent="0.25">
      <c r="A93" s="300" t="s">
        <v>228</v>
      </c>
      <c r="B93" s="300"/>
      <c r="C93" s="300"/>
      <c r="D93" s="300"/>
      <c r="E93" s="300"/>
      <c r="F93" s="300"/>
    </row>
    <row r="94" spans="1:6" x14ac:dyDescent="0.25">
      <c r="A94" s="242" t="s">
        <v>124</v>
      </c>
      <c r="B94" s="242" t="s">
        <v>0</v>
      </c>
      <c r="C94" s="36" t="s">
        <v>1</v>
      </c>
      <c r="D94" s="36" t="s">
        <v>2</v>
      </c>
      <c r="E94" s="36" t="s">
        <v>74</v>
      </c>
      <c r="F94" s="36" t="s">
        <v>3</v>
      </c>
    </row>
    <row r="95" spans="1:6" ht="25.5" x14ac:dyDescent="0.25">
      <c r="A95" s="200" t="s">
        <v>167</v>
      </c>
      <c r="B95" s="201" t="str">
        <f>+B57</f>
        <v>Apoyo metálico de celosia de acero galvanizados.</v>
      </c>
      <c r="C95" s="244" t="s">
        <v>514</v>
      </c>
      <c r="D95" s="245">
        <f>+D57</f>
        <v>0</v>
      </c>
      <c r="E95" s="245">
        <f>+'PRESUPUESTO P'!E101</f>
        <v>200</v>
      </c>
      <c r="F95" s="245">
        <f>D95*E95</f>
        <v>0</v>
      </c>
    </row>
    <row r="96" spans="1:6" x14ac:dyDescent="0.25">
      <c r="A96" s="200" t="s">
        <v>192</v>
      </c>
      <c r="B96" s="201" t="str">
        <f t="shared" ref="B96:B111" si="6">+B58</f>
        <v>Conductor tipo LA280 cctos 30 kV</v>
      </c>
      <c r="C96" s="244" t="str">
        <f t="shared" ref="C96:C119" si="7">+C58</f>
        <v>kg</v>
      </c>
      <c r="D96" s="245">
        <f t="shared" ref="D96:D128" si="8">+D58</f>
        <v>0</v>
      </c>
      <c r="E96" s="245">
        <f>+'PRESUPUESTO P'!E102</f>
        <v>1.3</v>
      </c>
      <c r="F96" s="245">
        <f t="shared" ref="F96:F128" si="9">D96*E96</f>
        <v>0</v>
      </c>
    </row>
    <row r="97" spans="1:6" x14ac:dyDescent="0.25">
      <c r="A97" s="200" t="s">
        <v>193</v>
      </c>
      <c r="B97" s="201" t="str">
        <f t="shared" si="6"/>
        <v>Conductor tipo LA280 cctos 220 kV</v>
      </c>
      <c r="C97" s="244" t="str">
        <f t="shared" si="7"/>
        <v>kg</v>
      </c>
      <c r="D97" s="245">
        <f t="shared" si="8"/>
        <v>0</v>
      </c>
      <c r="E97" s="245">
        <f>+'PRESUPUESTO P'!E103</f>
        <v>1.3</v>
      </c>
      <c r="F97" s="245">
        <f t="shared" si="9"/>
        <v>0</v>
      </c>
    </row>
    <row r="98" spans="1:6" x14ac:dyDescent="0.25">
      <c r="A98" s="200" t="s">
        <v>194</v>
      </c>
      <c r="B98" s="201" t="str">
        <f t="shared" si="6"/>
        <v>Conductor tipo LA510 cctos 220 kV</v>
      </c>
      <c r="C98" s="244" t="str">
        <f t="shared" si="7"/>
        <v>kg</v>
      </c>
      <c r="D98" s="245">
        <f t="shared" si="8"/>
        <v>0</v>
      </c>
      <c r="E98" s="245">
        <f>+'PRESUPUESTO P'!E104</f>
        <v>2.08</v>
      </c>
      <c r="F98" s="245">
        <f t="shared" si="9"/>
        <v>0</v>
      </c>
    </row>
    <row r="99" spans="1:6" x14ac:dyDescent="0.25">
      <c r="A99" s="200" t="s">
        <v>195</v>
      </c>
      <c r="B99" s="201" t="str">
        <f t="shared" si="6"/>
        <v>Cable compuesto OPGW cctos 30 kV</v>
      </c>
      <c r="C99" s="244" t="str">
        <f t="shared" si="7"/>
        <v>m</v>
      </c>
      <c r="D99" s="245">
        <f t="shared" si="8"/>
        <v>0</v>
      </c>
      <c r="E99" s="245">
        <f>+'PRESUPUESTO P'!E105</f>
        <v>2.5</v>
      </c>
      <c r="F99" s="245">
        <f t="shared" si="9"/>
        <v>0</v>
      </c>
    </row>
    <row r="100" spans="1:6" x14ac:dyDescent="0.25">
      <c r="A100" s="200" t="s">
        <v>196</v>
      </c>
      <c r="B100" s="201" t="str">
        <f t="shared" si="6"/>
        <v>Cable compuesto OPGW cctos 220 kV</v>
      </c>
      <c r="C100" s="244" t="str">
        <f t="shared" si="7"/>
        <v>m</v>
      </c>
      <c r="D100" s="245">
        <f t="shared" si="8"/>
        <v>0</v>
      </c>
      <c r="E100" s="245">
        <f>+'PRESUPUESTO P'!E106</f>
        <v>2.5</v>
      </c>
      <c r="F100" s="245">
        <f t="shared" si="9"/>
        <v>0</v>
      </c>
    </row>
    <row r="101" spans="1:6" ht="25.5" x14ac:dyDescent="0.25">
      <c r="A101" s="200" t="s">
        <v>197</v>
      </c>
      <c r="B101" s="201" t="str">
        <f t="shared" si="6"/>
        <v>Aislador Composite ccto 30 kV DX LA280</v>
      </c>
      <c r="C101" s="244" t="str">
        <f t="shared" si="7"/>
        <v>ud</v>
      </c>
      <c r="D101" s="245">
        <f t="shared" si="8"/>
        <v>0</v>
      </c>
      <c r="E101" s="245">
        <f>+'PRESUPUESTO P'!E107</f>
        <v>43</v>
      </c>
      <c r="F101" s="245">
        <f t="shared" si="9"/>
        <v>0</v>
      </c>
    </row>
    <row r="102" spans="1:6" ht="38.25" x14ac:dyDescent="0.25">
      <c r="A102" s="200" t="s">
        <v>198</v>
      </c>
      <c r="B102" s="201" t="str">
        <f t="shared" si="6"/>
        <v>Aislador Composite ccto 30 kV DX LA280 en apoyos compartidos 220 kV-ap06-08-14</v>
      </c>
      <c r="C102" s="244" t="str">
        <f t="shared" si="7"/>
        <v>ud</v>
      </c>
      <c r="D102" s="245">
        <f t="shared" si="8"/>
        <v>0</v>
      </c>
      <c r="E102" s="245">
        <f>+'PRESUPUESTO P'!E108</f>
        <v>47.300000000000004</v>
      </c>
      <c r="F102" s="245">
        <f t="shared" si="9"/>
        <v>0</v>
      </c>
    </row>
    <row r="103" spans="1:6" ht="25.5" x14ac:dyDescent="0.25">
      <c r="A103" s="200" t="s">
        <v>199</v>
      </c>
      <c r="B103" s="201" t="str">
        <f t="shared" si="6"/>
        <v>Aislador Composite ccto 220 kV DX LA280</v>
      </c>
      <c r="C103" s="244" t="str">
        <f t="shared" si="7"/>
        <v>ud</v>
      </c>
      <c r="D103" s="245">
        <f t="shared" si="8"/>
        <v>0</v>
      </c>
      <c r="E103" s="245">
        <f>+'PRESUPUESTO P'!E109</f>
        <v>52.030000000000008</v>
      </c>
      <c r="F103" s="245">
        <f t="shared" si="9"/>
        <v>0</v>
      </c>
    </row>
    <row r="104" spans="1:6" ht="25.5" x14ac:dyDescent="0.25">
      <c r="A104" s="200" t="s">
        <v>200</v>
      </c>
      <c r="B104" s="201" t="str">
        <f t="shared" si="6"/>
        <v>Aislador Composite ccto 220 kV TX LA510</v>
      </c>
      <c r="C104" s="244" t="str">
        <f t="shared" si="7"/>
        <v>ud</v>
      </c>
      <c r="D104" s="245">
        <f t="shared" si="8"/>
        <v>0</v>
      </c>
      <c r="E104" s="245">
        <f>+'PRESUPUESTO P'!E110</f>
        <v>67.63900000000001</v>
      </c>
      <c r="F104" s="245">
        <f t="shared" si="9"/>
        <v>0</v>
      </c>
    </row>
    <row r="105" spans="1:6" ht="25.5" x14ac:dyDescent="0.25">
      <c r="A105" s="200" t="s">
        <v>201</v>
      </c>
      <c r="B105" s="201" t="str">
        <f t="shared" si="6"/>
        <v>Cadena suspensión ccto 30 kV DX LA280</v>
      </c>
      <c r="C105" s="244" t="str">
        <f t="shared" si="7"/>
        <v>ud</v>
      </c>
      <c r="D105" s="245">
        <f t="shared" si="8"/>
        <v>0</v>
      </c>
      <c r="E105" s="245">
        <f>+'PRESUPUESTO P'!E111</f>
        <v>170</v>
      </c>
      <c r="F105" s="245">
        <f t="shared" si="9"/>
        <v>0</v>
      </c>
    </row>
    <row r="106" spans="1:6" ht="38.25" x14ac:dyDescent="0.25">
      <c r="A106" s="200" t="s">
        <v>202</v>
      </c>
      <c r="B106" s="201" t="str">
        <f t="shared" si="6"/>
        <v>Cadena suspensión ccto 30 kV DX LA280 en apoyos compartidos 220 kV-ap06-08-14</v>
      </c>
      <c r="C106" s="244" t="str">
        <f t="shared" si="7"/>
        <v>ud</v>
      </c>
      <c r="D106" s="245">
        <f t="shared" si="8"/>
        <v>0</v>
      </c>
      <c r="E106" s="245">
        <f>+'PRESUPUESTO P'!E112</f>
        <v>187.00000000000003</v>
      </c>
      <c r="F106" s="245">
        <f t="shared" si="9"/>
        <v>0</v>
      </c>
    </row>
    <row r="107" spans="1:6" ht="25.5" x14ac:dyDescent="0.25">
      <c r="A107" s="200" t="s">
        <v>203</v>
      </c>
      <c r="B107" s="201" t="str">
        <f t="shared" si="6"/>
        <v>Cadena suspensión ccto 220 kV DX LA280</v>
      </c>
      <c r="C107" s="244" t="str">
        <f t="shared" si="7"/>
        <v>ud</v>
      </c>
      <c r="D107" s="245">
        <f t="shared" si="8"/>
        <v>0</v>
      </c>
      <c r="E107" s="245">
        <f>+'PRESUPUESTO P'!E113</f>
        <v>205.70000000000005</v>
      </c>
      <c r="F107" s="245">
        <f t="shared" si="9"/>
        <v>0</v>
      </c>
    </row>
    <row r="108" spans="1:6" ht="25.5" x14ac:dyDescent="0.25">
      <c r="A108" s="200" t="s">
        <v>204</v>
      </c>
      <c r="B108" s="201" t="str">
        <f t="shared" si="6"/>
        <v>Cadena suspensión ccto 220 kV TX LA510</v>
      </c>
      <c r="C108" s="244" t="str">
        <f t="shared" si="7"/>
        <v>ud</v>
      </c>
      <c r="D108" s="245">
        <f t="shared" si="8"/>
        <v>0</v>
      </c>
      <c r="E108" s="245">
        <f>+'PRESUPUESTO P'!E114</f>
        <v>267.41000000000008</v>
      </c>
      <c r="F108" s="245">
        <f t="shared" si="9"/>
        <v>0</v>
      </c>
    </row>
    <row r="109" spans="1:6" x14ac:dyDescent="0.25">
      <c r="A109" s="200" t="s">
        <v>205</v>
      </c>
      <c r="B109" s="201" t="str">
        <f t="shared" si="6"/>
        <v>Cadena amarre ccto 30 kV DX LA280</v>
      </c>
      <c r="C109" s="244" t="str">
        <f t="shared" si="7"/>
        <v>ud</v>
      </c>
      <c r="D109" s="245">
        <f t="shared" si="8"/>
        <v>0</v>
      </c>
      <c r="E109" s="245">
        <f>+'PRESUPUESTO P'!E115</f>
        <v>385</v>
      </c>
      <c r="F109" s="245">
        <f t="shared" si="9"/>
        <v>0</v>
      </c>
    </row>
    <row r="110" spans="1:6" ht="38.25" x14ac:dyDescent="0.25">
      <c r="A110" s="200" t="s">
        <v>206</v>
      </c>
      <c r="B110" s="201" t="str">
        <f t="shared" si="6"/>
        <v>Cadena amarre ccto 30 kV DX LA280 en apoyos compartidos 220 kV-ap06-08-14</v>
      </c>
      <c r="C110" s="244" t="str">
        <f t="shared" si="7"/>
        <v>ud</v>
      </c>
      <c r="D110" s="245">
        <f t="shared" si="8"/>
        <v>0</v>
      </c>
      <c r="E110" s="245">
        <f>+'PRESUPUESTO P'!E116</f>
        <v>423.50000000000006</v>
      </c>
      <c r="F110" s="245">
        <f t="shared" si="9"/>
        <v>0</v>
      </c>
    </row>
    <row r="111" spans="1:6" x14ac:dyDescent="0.25">
      <c r="A111" s="200" t="s">
        <v>207</v>
      </c>
      <c r="B111" s="201" t="str">
        <f t="shared" si="6"/>
        <v>Cadena amarre ccto 220 kV DX LA280</v>
      </c>
      <c r="C111" s="244" t="str">
        <f t="shared" si="7"/>
        <v>ud</v>
      </c>
      <c r="D111" s="245">
        <f t="shared" si="8"/>
        <v>0</v>
      </c>
      <c r="E111" s="245">
        <f>+'PRESUPUESTO P'!E117</f>
        <v>465.85000000000008</v>
      </c>
      <c r="F111" s="245">
        <f t="shared" si="9"/>
        <v>0</v>
      </c>
    </row>
    <row r="112" spans="1:6" x14ac:dyDescent="0.25">
      <c r="A112" s="200" t="s">
        <v>208</v>
      </c>
      <c r="B112" s="201" t="str">
        <f t="shared" ref="B112:C121" si="10">+B74</f>
        <v>Cadena amarre ccto 220 kV TX LA510</v>
      </c>
      <c r="C112" s="244" t="str">
        <f t="shared" si="7"/>
        <v>ud</v>
      </c>
      <c r="D112" s="245">
        <f t="shared" si="8"/>
        <v>0</v>
      </c>
      <c r="E112" s="245">
        <f>+'PRESUPUESTO P'!E118</f>
        <v>605.60500000000013</v>
      </c>
      <c r="F112" s="245">
        <f t="shared" si="9"/>
        <v>0</v>
      </c>
    </row>
    <row r="113" spans="1:6" ht="25.5" x14ac:dyDescent="0.25">
      <c r="A113" s="200" t="s">
        <v>209</v>
      </c>
      <c r="B113" s="201" t="str">
        <f t="shared" si="10"/>
        <v>Cadena suspensión OPGW ccto 30 kV DX LA280</v>
      </c>
      <c r="C113" s="244" t="str">
        <f t="shared" si="7"/>
        <v>ud</v>
      </c>
      <c r="D113" s="245">
        <f t="shared" si="8"/>
        <v>0</v>
      </c>
      <c r="E113" s="245">
        <f>+'PRESUPUESTO P'!E119</f>
        <v>120</v>
      </c>
      <c r="F113" s="245">
        <f t="shared" si="9"/>
        <v>0</v>
      </c>
    </row>
    <row r="114" spans="1:6" ht="25.5" x14ac:dyDescent="0.25">
      <c r="A114" s="200" t="s">
        <v>210</v>
      </c>
      <c r="B114" s="201" t="str">
        <f t="shared" si="10"/>
        <v>Cadena suspensión OPGW ccto 220 kV DX LA280</v>
      </c>
      <c r="C114" s="244" t="str">
        <f t="shared" si="7"/>
        <v>ud</v>
      </c>
      <c r="D114" s="245">
        <f t="shared" si="8"/>
        <v>0</v>
      </c>
      <c r="E114" s="245">
        <f>+'PRESUPUESTO P'!E120</f>
        <v>120</v>
      </c>
      <c r="F114" s="245">
        <f t="shared" si="9"/>
        <v>0</v>
      </c>
    </row>
    <row r="115" spans="1:6" ht="25.5" x14ac:dyDescent="0.25">
      <c r="A115" s="200" t="s">
        <v>211</v>
      </c>
      <c r="B115" s="201" t="str">
        <f t="shared" si="10"/>
        <v>Cadena suspensión OPGW ccto 220 kV TX LA510</v>
      </c>
      <c r="C115" s="244" t="str">
        <f t="shared" si="7"/>
        <v>ud</v>
      </c>
      <c r="D115" s="245">
        <f t="shared" si="8"/>
        <v>0</v>
      </c>
      <c r="E115" s="245">
        <f>+'PRESUPUESTO P'!E121</f>
        <v>120</v>
      </c>
      <c r="F115" s="245">
        <f t="shared" si="9"/>
        <v>0</v>
      </c>
    </row>
    <row r="116" spans="1:6" ht="25.5" x14ac:dyDescent="0.25">
      <c r="A116" s="200" t="s">
        <v>212</v>
      </c>
      <c r="B116" s="201" t="str">
        <f t="shared" si="10"/>
        <v>Cadena amarre OPGW ccto 30 kV DX LA280</v>
      </c>
      <c r="C116" s="244" t="str">
        <f t="shared" si="7"/>
        <v>ud</v>
      </c>
      <c r="D116" s="245">
        <f t="shared" si="8"/>
        <v>0</v>
      </c>
      <c r="E116" s="245">
        <f>+'PRESUPUESTO P'!E122</f>
        <v>156</v>
      </c>
      <c r="F116" s="245">
        <f t="shared" si="9"/>
        <v>0</v>
      </c>
    </row>
    <row r="117" spans="1:6" ht="25.5" x14ac:dyDescent="0.25">
      <c r="A117" s="200" t="s">
        <v>213</v>
      </c>
      <c r="B117" s="201" t="str">
        <f t="shared" si="10"/>
        <v>Cadena amarre OPGW ccto 220 kV DX LA280</v>
      </c>
      <c r="C117" s="244" t="str">
        <f t="shared" si="7"/>
        <v>ud</v>
      </c>
      <c r="D117" s="245">
        <f t="shared" si="8"/>
        <v>0</v>
      </c>
      <c r="E117" s="245">
        <f>+'PRESUPUESTO P'!E123</f>
        <v>156</v>
      </c>
      <c r="F117" s="245">
        <f t="shared" si="9"/>
        <v>0</v>
      </c>
    </row>
    <row r="118" spans="1:6" ht="25.5" x14ac:dyDescent="0.25">
      <c r="A118" s="200" t="s">
        <v>214</v>
      </c>
      <c r="B118" s="201" t="str">
        <f t="shared" si="10"/>
        <v>Cadena amarre OPGW ccto 220 kV TX LA510</v>
      </c>
      <c r="C118" s="244" t="str">
        <f t="shared" si="7"/>
        <v>ud</v>
      </c>
      <c r="D118" s="245">
        <f t="shared" si="8"/>
        <v>0</v>
      </c>
      <c r="E118" s="245">
        <f>+'PRESUPUESTO P'!E124</f>
        <v>156</v>
      </c>
      <c r="F118" s="245">
        <f t="shared" si="9"/>
        <v>0</v>
      </c>
    </row>
    <row r="119" spans="1:6" x14ac:dyDescent="0.25">
      <c r="A119" s="200" t="s">
        <v>215</v>
      </c>
      <c r="B119" s="201" t="str">
        <f t="shared" si="10"/>
        <v>Placa Riesgo Eléctrico y señalización</v>
      </c>
      <c r="C119" s="244" t="str">
        <f t="shared" si="7"/>
        <v>ud</v>
      </c>
      <c r="D119" s="245">
        <f t="shared" si="8"/>
        <v>0</v>
      </c>
      <c r="E119" s="245">
        <f>+'PRESUPUESTO P'!E125</f>
        <v>20</v>
      </c>
      <c r="F119" s="245">
        <f t="shared" si="9"/>
        <v>0</v>
      </c>
    </row>
    <row r="120" spans="1:6" ht="25.5" x14ac:dyDescent="0.25">
      <c r="A120" s="200" t="s">
        <v>216</v>
      </c>
      <c r="B120" s="201" t="str">
        <f t="shared" si="10"/>
        <v>Amortiguador separador conductor tipo LA280 cctos 30 kV</v>
      </c>
      <c r="C120" s="244" t="str">
        <f t="shared" si="10"/>
        <v>ud</v>
      </c>
      <c r="D120" s="245">
        <f t="shared" si="8"/>
        <v>0</v>
      </c>
      <c r="E120" s="245">
        <f>+'PRESUPUESTO P'!E126</f>
        <v>16.799999999999997</v>
      </c>
      <c r="F120" s="245">
        <f t="shared" si="9"/>
        <v>0</v>
      </c>
    </row>
    <row r="121" spans="1:6" ht="25.5" x14ac:dyDescent="0.25">
      <c r="A121" s="200" t="s">
        <v>220</v>
      </c>
      <c r="B121" s="201" t="str">
        <f>+B83</f>
        <v>Amortiguador separador conducto tipo LA280 cctos 220 kV</v>
      </c>
      <c r="C121" s="244" t="str">
        <f t="shared" si="10"/>
        <v>ud</v>
      </c>
      <c r="D121" s="245">
        <f t="shared" si="8"/>
        <v>0</v>
      </c>
      <c r="E121" s="245">
        <f>+'PRESUPUESTO P'!E127</f>
        <v>16.799999999999997</v>
      </c>
      <c r="F121" s="245">
        <f t="shared" si="9"/>
        <v>0</v>
      </c>
    </row>
    <row r="122" spans="1:6" ht="25.5" x14ac:dyDescent="0.25">
      <c r="A122" s="200" t="s">
        <v>551</v>
      </c>
      <c r="B122" s="201" t="str">
        <f t="shared" ref="B122:C128" si="11">+B84</f>
        <v>Amortiguador separador conductor tipo LA510 cctos 220 kV</v>
      </c>
      <c r="C122" s="244" t="str">
        <f t="shared" ref="C122:C124" si="12">+C86</f>
        <v>ud</v>
      </c>
      <c r="D122" s="245">
        <f t="shared" si="8"/>
        <v>0</v>
      </c>
      <c r="E122" s="245">
        <f>+'PRESUPUESTO P'!E128</f>
        <v>35.28</v>
      </c>
      <c r="F122" s="245">
        <f t="shared" si="9"/>
        <v>0</v>
      </c>
    </row>
    <row r="123" spans="1:6" x14ac:dyDescent="0.25">
      <c r="A123" s="200" t="s">
        <v>552</v>
      </c>
      <c r="B123" s="201" t="str">
        <f>+B85</f>
        <v>Amortiguador OPGW ccto 30 kV</v>
      </c>
      <c r="C123" s="244" t="str">
        <f t="shared" si="12"/>
        <v>ud</v>
      </c>
      <c r="D123" s="245">
        <f t="shared" si="8"/>
        <v>0</v>
      </c>
      <c r="E123" s="245">
        <f>+'PRESUPUESTO P'!E129</f>
        <v>16.799999999999997</v>
      </c>
      <c r="F123" s="245">
        <f t="shared" si="9"/>
        <v>0</v>
      </c>
    </row>
    <row r="124" spans="1:6" x14ac:dyDescent="0.25">
      <c r="A124" s="200" t="s">
        <v>553</v>
      </c>
      <c r="B124" s="201" t="str">
        <f t="shared" si="11"/>
        <v>Amortiguador OPGW ccto 220 kV</v>
      </c>
      <c r="C124" s="244" t="str">
        <f t="shared" si="12"/>
        <v>ud</v>
      </c>
      <c r="D124" s="245">
        <f t="shared" si="8"/>
        <v>0</v>
      </c>
      <c r="E124" s="245">
        <f>+'PRESUPUESTO P'!E130</f>
        <v>16.799999999999997</v>
      </c>
      <c r="F124" s="245">
        <f t="shared" si="9"/>
        <v>0</v>
      </c>
    </row>
    <row r="125" spans="1:6" x14ac:dyDescent="0.25">
      <c r="A125" s="200" t="s">
        <v>554</v>
      </c>
      <c r="B125" s="201" t="str">
        <f t="shared" si="11"/>
        <v>Salvapajaros OPGW ccto 30 kV</v>
      </c>
      <c r="C125" s="244" t="str">
        <f t="shared" si="11"/>
        <v>ud</v>
      </c>
      <c r="D125" s="245">
        <f t="shared" si="8"/>
        <v>0</v>
      </c>
      <c r="E125" s="245">
        <f>+'PRESUPUESTO P'!E131</f>
        <v>15.399999999999999</v>
      </c>
      <c r="F125" s="245">
        <f t="shared" si="9"/>
        <v>0</v>
      </c>
    </row>
    <row r="126" spans="1:6" x14ac:dyDescent="0.25">
      <c r="A126" s="200" t="s">
        <v>557</v>
      </c>
      <c r="B126" s="201" t="str">
        <f t="shared" si="11"/>
        <v>Salvapajaros OPGW ccto 220 kV</v>
      </c>
      <c r="C126" s="244" t="str">
        <f t="shared" si="11"/>
        <v>ud</v>
      </c>
      <c r="D126" s="245">
        <f t="shared" si="8"/>
        <v>0</v>
      </c>
      <c r="E126" s="245">
        <f>+'PRESUPUESTO P'!E132</f>
        <v>15.399999999999999</v>
      </c>
      <c r="F126" s="245">
        <f t="shared" si="9"/>
        <v>0</v>
      </c>
    </row>
    <row r="127" spans="1:6" x14ac:dyDescent="0.25">
      <c r="A127" s="200" t="s">
        <v>558</v>
      </c>
      <c r="B127" s="201" t="str">
        <f>+B89</f>
        <v>PAT apoyo</v>
      </c>
      <c r="C127" s="244" t="str">
        <f t="shared" si="11"/>
        <v>ud</v>
      </c>
      <c r="D127" s="245">
        <f t="shared" si="8"/>
        <v>0</v>
      </c>
      <c r="E127" s="245">
        <f>+'PRESUPUESTO P'!E133</f>
        <v>300</v>
      </c>
      <c r="F127" s="245">
        <f t="shared" si="9"/>
        <v>0</v>
      </c>
    </row>
    <row r="128" spans="1:6" x14ac:dyDescent="0.25">
      <c r="A128" s="200" t="s">
        <v>561</v>
      </c>
      <c r="B128" s="201" t="str">
        <f>+B90</f>
        <v>Conexión FO</v>
      </c>
      <c r="C128" s="244" t="str">
        <f t="shared" si="11"/>
        <v>ud</v>
      </c>
      <c r="D128" s="245">
        <f t="shared" si="8"/>
        <v>0</v>
      </c>
      <c r="E128" s="245">
        <f>+'PRESUPUESTO P'!E134</f>
        <v>2000</v>
      </c>
      <c r="F128" s="245">
        <f t="shared" si="9"/>
        <v>0</v>
      </c>
    </row>
    <row r="129" spans="1:7" x14ac:dyDescent="0.25">
      <c r="A129" s="294" t="s">
        <v>79</v>
      </c>
      <c r="B129" s="294"/>
      <c r="C129" s="294"/>
      <c r="D129" s="294"/>
      <c r="E129" s="294"/>
      <c r="F129" s="248">
        <f>SUM(F95:F128)</f>
        <v>0</v>
      </c>
    </row>
    <row r="130" spans="1:7" x14ac:dyDescent="0.25">
      <c r="A130" s="299"/>
      <c r="B130" s="299"/>
      <c r="C130" s="299"/>
      <c r="D130" s="299"/>
      <c r="E130" s="299"/>
      <c r="F130" s="299"/>
    </row>
    <row r="131" spans="1:7" x14ac:dyDescent="0.25">
      <c r="A131" s="300" t="s">
        <v>227</v>
      </c>
      <c r="B131" s="300"/>
      <c r="C131" s="300"/>
      <c r="D131" s="300"/>
      <c r="E131" s="300"/>
      <c r="F131" s="300"/>
    </row>
    <row r="132" spans="1:7" x14ac:dyDescent="0.25">
      <c r="A132" s="242" t="s">
        <v>124</v>
      </c>
      <c r="B132" s="242" t="s">
        <v>0</v>
      </c>
      <c r="C132" s="36" t="s">
        <v>1</v>
      </c>
      <c r="D132" s="36" t="s">
        <v>2</v>
      </c>
      <c r="E132" s="36" t="s">
        <v>74</v>
      </c>
      <c r="F132" s="36" t="s">
        <v>3</v>
      </c>
    </row>
    <row r="133" spans="1:7" ht="38.25" x14ac:dyDescent="0.25">
      <c r="A133" s="200" t="s">
        <v>223</v>
      </c>
      <c r="B133" s="201" t="s">
        <v>563</v>
      </c>
      <c r="C133" s="244" t="s">
        <v>7</v>
      </c>
      <c r="D133" s="245">
        <f>+'PRESUPUESTO P'!H139</f>
        <v>0</v>
      </c>
      <c r="E133" s="245">
        <f>+'PRESUPUESTO P'!E139</f>
        <v>99</v>
      </c>
      <c r="F133" s="245">
        <f>D133*E133</f>
        <v>0</v>
      </c>
    </row>
    <row r="134" spans="1:7" ht="102" x14ac:dyDescent="0.25">
      <c r="A134" s="200" t="s">
        <v>224</v>
      </c>
      <c r="B134" s="201" t="s">
        <v>222</v>
      </c>
      <c r="C134" s="244" t="s">
        <v>7</v>
      </c>
      <c r="D134" s="245">
        <f>+'PRESUPUESTO P'!H140</f>
        <v>0</v>
      </c>
      <c r="E134" s="245">
        <f>+'PRESUPUESTO P'!E140</f>
        <v>102</v>
      </c>
      <c r="F134" s="245">
        <f t="shared" ref="F134:F135" si="13">D134*E134</f>
        <v>0</v>
      </c>
    </row>
    <row r="135" spans="1:7" ht="51" x14ac:dyDescent="0.25">
      <c r="A135" s="200" t="s">
        <v>225</v>
      </c>
      <c r="B135" s="201" t="s">
        <v>226</v>
      </c>
      <c r="C135" s="244" t="s">
        <v>1</v>
      </c>
      <c r="D135" s="245">
        <f>+'PRESUPUESTO P'!H141</f>
        <v>0</v>
      </c>
      <c r="E135" s="245">
        <f>+'PRESUPUESTO P'!E141</f>
        <v>200</v>
      </c>
      <c r="F135" s="245">
        <f t="shared" si="13"/>
        <v>0</v>
      </c>
    </row>
    <row r="136" spans="1:7" x14ac:dyDescent="0.25">
      <c r="A136" s="294" t="s">
        <v>80</v>
      </c>
      <c r="B136" s="294"/>
      <c r="C136" s="294"/>
      <c r="D136" s="294"/>
      <c r="E136" s="294"/>
      <c r="F136" s="248">
        <f>SUM(F133:F135)</f>
        <v>0</v>
      </c>
    </row>
    <row r="137" spans="1:7" x14ac:dyDescent="0.25">
      <c r="A137" s="294" t="s">
        <v>235</v>
      </c>
      <c r="B137" s="294"/>
      <c r="C137" s="294"/>
      <c r="D137" s="294"/>
      <c r="E137" s="294"/>
      <c r="F137" s="248">
        <f>+F136+F129+F91</f>
        <v>0</v>
      </c>
    </row>
    <row r="138" spans="1:7" x14ac:dyDescent="0.25">
      <c r="A138" s="299"/>
      <c r="B138" s="299"/>
      <c r="C138" s="299"/>
      <c r="D138" s="299"/>
      <c r="E138" s="299"/>
      <c r="F138" s="299"/>
    </row>
    <row r="139" spans="1:7" x14ac:dyDescent="0.25">
      <c r="A139" s="298" t="s">
        <v>81</v>
      </c>
      <c r="B139" s="298"/>
      <c r="C139" s="298"/>
      <c r="D139" s="298"/>
      <c r="E139" s="298"/>
      <c r="F139" s="298"/>
    </row>
    <row r="140" spans="1:7" x14ac:dyDescent="0.25">
      <c r="A140" s="242" t="s">
        <v>124</v>
      </c>
      <c r="B140" s="242" t="s">
        <v>0</v>
      </c>
      <c r="C140" s="36" t="s">
        <v>1</v>
      </c>
      <c r="D140" s="36" t="s">
        <v>2</v>
      </c>
      <c r="E140" s="36" t="s">
        <v>74</v>
      </c>
      <c r="F140" s="36" t="s">
        <v>3</v>
      </c>
      <c r="G140" s="250"/>
    </row>
    <row r="141" spans="1:7" x14ac:dyDescent="0.25">
      <c r="A141" s="200" t="s">
        <v>236</v>
      </c>
      <c r="B141" s="200" t="s">
        <v>63</v>
      </c>
      <c r="C141" s="251" t="s">
        <v>6</v>
      </c>
      <c r="D141" s="245">
        <v>1</v>
      </c>
      <c r="E141" s="245" t="e">
        <f>+'PRESUPUESTO P'!H147</f>
        <v>#REF!</v>
      </c>
      <c r="F141" s="245" t="e">
        <f>D141*E141</f>
        <v>#REF!</v>
      </c>
      <c r="G141" s="250"/>
    </row>
    <row r="142" spans="1:7" x14ac:dyDescent="0.25">
      <c r="A142" s="301" t="s">
        <v>543</v>
      </c>
      <c r="B142" s="302"/>
      <c r="C142" s="302"/>
      <c r="D142" s="302"/>
      <c r="E142" s="303"/>
      <c r="F142" s="248" t="e">
        <f>+F141</f>
        <v>#REF!</v>
      </c>
    </row>
    <row r="143" spans="1:7" x14ac:dyDescent="0.25">
      <c r="A143" s="295"/>
      <c r="B143" s="296"/>
      <c r="C143" s="296"/>
      <c r="D143" s="296"/>
      <c r="E143" s="296"/>
      <c r="F143" s="297"/>
    </row>
    <row r="144" spans="1:7" x14ac:dyDescent="0.25">
      <c r="A144" s="298" t="s">
        <v>82</v>
      </c>
      <c r="B144" s="298"/>
      <c r="C144" s="298"/>
      <c r="D144" s="298"/>
      <c r="E144" s="298"/>
      <c r="F144" s="298"/>
    </row>
    <row r="145" spans="1:7" x14ac:dyDescent="0.25">
      <c r="A145" s="242" t="s">
        <v>124</v>
      </c>
      <c r="B145" s="242" t="s">
        <v>0</v>
      </c>
      <c r="C145" s="36" t="s">
        <v>1</v>
      </c>
      <c r="D145" s="36" t="s">
        <v>2</v>
      </c>
      <c r="E145" s="36" t="s">
        <v>74</v>
      </c>
      <c r="F145" s="36" t="s">
        <v>3</v>
      </c>
      <c r="G145" s="250"/>
    </row>
    <row r="146" spans="1:7" x14ac:dyDescent="0.25">
      <c r="A146" s="200" t="s">
        <v>237</v>
      </c>
      <c r="B146" s="200" t="s">
        <v>83</v>
      </c>
      <c r="C146" s="251" t="s">
        <v>6</v>
      </c>
      <c r="D146" s="245">
        <v>1</v>
      </c>
      <c r="E146" s="245" t="e">
        <f>+'PRESUPUESTO P'!H152</f>
        <v>#REF!</v>
      </c>
      <c r="F146" s="245" t="e">
        <f>D146*E146</f>
        <v>#REF!</v>
      </c>
      <c r="G146" s="250"/>
    </row>
    <row r="147" spans="1:7" x14ac:dyDescent="0.25">
      <c r="A147" s="294" t="s">
        <v>544</v>
      </c>
      <c r="B147" s="294"/>
      <c r="C147" s="294"/>
      <c r="D147" s="294"/>
      <c r="E147" s="294"/>
      <c r="F147" s="248" t="e">
        <f>+F146</f>
        <v>#REF!</v>
      </c>
    </row>
    <row r="148" spans="1:7" x14ac:dyDescent="0.25">
      <c r="A148" s="294" t="s">
        <v>238</v>
      </c>
      <c r="B148" s="294"/>
      <c r="C148" s="294"/>
      <c r="D148" s="294"/>
      <c r="E148" s="294"/>
      <c r="F148" s="248" t="e">
        <f>+F147+F142+F137+F52</f>
        <v>#REF!</v>
      </c>
    </row>
    <row r="150" spans="1:7" x14ac:dyDescent="0.25">
      <c r="B150" s="254" t="str">
        <f>+A2</f>
        <v>CAPÍTULO 1. LÍNEA SUBTERRÁNEA</v>
      </c>
      <c r="C150" s="196" t="s">
        <v>3</v>
      </c>
    </row>
    <row r="151" spans="1:7" ht="30" x14ac:dyDescent="0.25">
      <c r="B151" s="255" t="str">
        <f>+A3</f>
        <v>CAPÍTULO 1.1 MATERIALES  LÍNEA SUBTERRÁNEA</v>
      </c>
      <c r="C151" s="207">
        <f>+F21</f>
        <v>2060</v>
      </c>
    </row>
    <row r="152" spans="1:7" ht="30" x14ac:dyDescent="0.25">
      <c r="B152" s="255" t="str">
        <f>+A23</f>
        <v>CAPÍTULO 1.2. MONTAJE  LÍNEA SUBTERRÁNEA</v>
      </c>
      <c r="C152" s="207">
        <f>+F41</f>
        <v>580</v>
      </c>
    </row>
    <row r="153" spans="1:7" ht="30" x14ac:dyDescent="0.25">
      <c r="B153" s="255" t="str">
        <f>+A43</f>
        <v>CAPÍTULO 1.3. OBRA CIVIL LÍNEA SUBTERRÁNEA</v>
      </c>
      <c r="C153" s="207">
        <f>+F51</f>
        <v>-2400</v>
      </c>
    </row>
    <row r="154" spans="1:7" ht="30" x14ac:dyDescent="0.25">
      <c r="B154" s="256" t="str">
        <f>+A52</f>
        <v>TOTAL CAPÍTULO 1.- LINEA SUBTERRÁNEA</v>
      </c>
      <c r="C154" s="257">
        <f>+C151+C152+C153</f>
        <v>240</v>
      </c>
      <c r="D154" s="246"/>
    </row>
    <row r="155" spans="1:7" x14ac:dyDescent="0.25">
      <c r="B155" s="254" t="str">
        <f>+A54</f>
        <v>CAPÍTULO 2. LÍNEA AÉREA</v>
      </c>
      <c r="C155" s="196" t="s">
        <v>3</v>
      </c>
    </row>
    <row r="156" spans="1:7" ht="30" x14ac:dyDescent="0.25">
      <c r="B156" s="255" t="str">
        <f>+A55</f>
        <v>CAPÍTULO 2.1 MATERIALES  LÍNEA AÉREA</v>
      </c>
      <c r="C156" s="207">
        <f>+F91</f>
        <v>0</v>
      </c>
    </row>
    <row r="157" spans="1:7" ht="30" x14ac:dyDescent="0.25">
      <c r="B157" s="255" t="str">
        <f>+A93</f>
        <v>CAPÍTULO 2.2 MONTAJE  LÍNEA AÉREA</v>
      </c>
      <c r="C157" s="207">
        <f>+F129</f>
        <v>0</v>
      </c>
    </row>
    <row r="158" spans="1:7" ht="30" x14ac:dyDescent="0.25">
      <c r="B158" s="255" t="str">
        <f>+A131</f>
        <v>CAPÍTULO 2.3 OBRA CIVIL LÍNEA AÉREA</v>
      </c>
      <c r="C158" s="207">
        <f>+F136</f>
        <v>0</v>
      </c>
    </row>
    <row r="159" spans="1:7" x14ac:dyDescent="0.25">
      <c r="B159" s="259" t="str">
        <f>+A137</f>
        <v>TOTAL CAPÍTULO 2.- LÍNEA AÉREA</v>
      </c>
      <c r="C159" s="257">
        <f>+C156+C157+C158</f>
        <v>0</v>
      </c>
      <c r="D159" s="246"/>
    </row>
    <row r="160" spans="1:7" ht="30" x14ac:dyDescent="0.25">
      <c r="B160" s="255" t="str">
        <f>+A139</f>
        <v>CAPÍTULO 3. ESTUDIO DE GESTIÓN DE RESIDUOS</v>
      </c>
      <c r="C160" s="207" t="e">
        <f>+F142</f>
        <v>#REF!</v>
      </c>
    </row>
    <row r="161" spans="2:4" ht="30" x14ac:dyDescent="0.25">
      <c r="B161" s="259" t="str">
        <f>+A142</f>
        <v>TOTAL CAPÍTULO 3.-ESTUDIO DE GESTIÓN DE RESIDUOS</v>
      </c>
      <c r="C161" s="208" t="e">
        <f>+C160</f>
        <v>#REF!</v>
      </c>
    </row>
    <row r="162" spans="2:4" ht="30" x14ac:dyDescent="0.25">
      <c r="B162" s="255" t="str">
        <f>+A144</f>
        <v>CAPÍTULO 4. ESTUDIO DE SEGURIDAD Y SALUD</v>
      </c>
      <c r="C162" s="207" t="e">
        <f>+F147</f>
        <v>#REF!</v>
      </c>
    </row>
    <row r="163" spans="2:4" ht="30" x14ac:dyDescent="0.25">
      <c r="B163" s="259" t="str">
        <f>+A147</f>
        <v>TOTAL CAPÍTULO 4.-ESTUDIO DE SEGURIDAD Y SALUD</v>
      </c>
      <c r="C163" s="208" t="e">
        <f>+C162</f>
        <v>#REF!</v>
      </c>
    </row>
    <row r="164" spans="2:4" ht="30" x14ac:dyDescent="0.25">
      <c r="B164" s="267" t="s">
        <v>71</v>
      </c>
      <c r="C164" s="268" t="e">
        <f>+C154+C159+C161+C163</f>
        <v>#REF!</v>
      </c>
      <c r="D164" s="246"/>
    </row>
    <row r="165" spans="2:4" x14ac:dyDescent="0.25">
      <c r="B165" s="262" t="s">
        <v>9</v>
      </c>
      <c r="C165" s="207" t="e">
        <f>+C164*0.21</f>
        <v>#REF!</v>
      </c>
    </row>
    <row r="166" spans="2:4" ht="30" x14ac:dyDescent="0.25">
      <c r="B166" s="261" t="s">
        <v>72</v>
      </c>
      <c r="C166" s="208" t="e">
        <f>+C164+C165</f>
        <v>#REF!</v>
      </c>
    </row>
  </sheetData>
  <mergeCells count="28">
    <mergeCell ref="A143:F143"/>
    <mergeCell ref="A144:F144"/>
    <mergeCell ref="A147:E147"/>
    <mergeCell ref="A148:E148"/>
    <mergeCell ref="A131:F131"/>
    <mergeCell ref="A136:E136"/>
    <mergeCell ref="A137:E137"/>
    <mergeCell ref="A138:F138"/>
    <mergeCell ref="A139:F139"/>
    <mergeCell ref="A142:E142"/>
    <mergeCell ref="A130:F130"/>
    <mergeCell ref="A42:F42"/>
    <mergeCell ref="A43:F43"/>
    <mergeCell ref="A51:E51"/>
    <mergeCell ref="A52:E52"/>
    <mergeCell ref="A53:F53"/>
    <mergeCell ref="A54:F54"/>
    <mergeCell ref="A55:F55"/>
    <mergeCell ref="A91:E91"/>
    <mergeCell ref="A92:F92"/>
    <mergeCell ref="A93:F93"/>
    <mergeCell ref="A129:E129"/>
    <mergeCell ref="A41:E41"/>
    <mergeCell ref="A2:F2"/>
    <mergeCell ref="A3:F3"/>
    <mergeCell ref="A21:E21"/>
    <mergeCell ref="A22:F22"/>
    <mergeCell ref="A23:F23"/>
  </mergeCells>
  <conditionalFormatting sqref="C154 C159:C166">
    <cfRule type="cellIs" dxfId="33" priority="15" operator="equal">
      <formula>0</formula>
    </cfRule>
  </conditionalFormatting>
  <conditionalFormatting sqref="D154 D159">
    <cfRule type="cellIs" dxfId="32" priority="7" operator="notEqual">
      <formula>0</formula>
    </cfRule>
  </conditionalFormatting>
  <conditionalFormatting sqref="D164">
    <cfRule type="cellIs" dxfId="31" priority="6" operator="notEqual">
      <formula>0</formula>
    </cfRule>
  </conditionalFormatting>
  <conditionalFormatting sqref="D25:E40">
    <cfRule type="cellIs" dxfId="30" priority="5" operator="equal">
      <formula>0</formula>
    </cfRule>
  </conditionalFormatting>
  <conditionalFormatting sqref="D45:E50">
    <cfRule type="cellIs" dxfId="29" priority="4" operator="equal">
      <formula>0</formula>
    </cfRule>
  </conditionalFormatting>
  <conditionalFormatting sqref="D57:E90">
    <cfRule type="cellIs" dxfId="28" priority="3" operator="equal">
      <formula>0</formula>
    </cfRule>
  </conditionalFormatting>
  <conditionalFormatting sqref="D95:E128">
    <cfRule type="cellIs" dxfId="27" priority="2" operator="equal">
      <formula>0</formula>
    </cfRule>
  </conditionalFormatting>
  <conditionalFormatting sqref="D133:E135">
    <cfRule type="cellIs" dxfId="26" priority="1" operator="equal">
      <formula>0</formula>
    </cfRule>
  </conditionalFormatting>
  <conditionalFormatting sqref="D5:F20 F21">
    <cfRule type="cellIs" dxfId="25" priority="12" operator="equal">
      <formula>0</formula>
    </cfRule>
  </conditionalFormatting>
  <conditionalFormatting sqref="F25:F41 F45:F52">
    <cfRule type="cellIs" dxfId="24" priority="13" operator="equal">
      <formula>0</formula>
    </cfRule>
  </conditionalFormatting>
  <conditionalFormatting sqref="F57:F91 F95:F129 F133:F137 D141:F141 F142 D146:E146 F146:F148">
    <cfRule type="cellIs" dxfId="23" priority="14" operator="equal">
      <formula>0</formula>
    </cfRule>
  </conditionalFormatting>
  <dataValidations count="1">
    <dataValidation allowBlank="1" showErrorMessage="1" sqref="B87:B90" xr:uid="{6897ECA7-C94D-4322-A64E-ED6C5828EDF6}"/>
  </dataValidation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87312-F788-4163-8CDA-1EA80D6D1DE8}">
  <sheetPr>
    <tabColor rgb="FF92D050"/>
  </sheetPr>
  <dimension ref="A2:K166"/>
  <sheetViews>
    <sheetView showGridLines="0" zoomScale="85" zoomScaleNormal="85" workbookViewId="0">
      <selection activeCell="F148" sqref="A2:F148"/>
    </sheetView>
  </sheetViews>
  <sheetFormatPr baseColWidth="10" defaultColWidth="24.140625" defaultRowHeight="15" x14ac:dyDescent="0.25"/>
  <cols>
    <col min="1" max="1" width="6.5703125" style="237" bestFit="1" customWidth="1"/>
    <col min="2" max="2" width="32.28515625" style="238" customWidth="1"/>
    <col min="3" max="3" width="13.140625" style="237" bestFit="1" customWidth="1"/>
    <col min="4" max="4" width="10.28515625" style="237" bestFit="1" customWidth="1"/>
    <col min="5" max="5" width="11.28515625" style="239" bestFit="1" customWidth="1"/>
    <col min="6" max="6" width="11.7109375" style="239" bestFit="1" customWidth="1"/>
    <col min="7" max="7" width="29.7109375" style="241" customWidth="1"/>
    <col min="8" max="8" width="9.7109375" style="241" bestFit="1" customWidth="1"/>
    <col min="9" max="11" width="24.140625" style="241"/>
    <col min="12" max="16384" width="24.140625" style="237"/>
  </cols>
  <sheetData>
    <row r="2" spans="1:7" x14ac:dyDescent="0.25">
      <c r="A2" s="300" t="s">
        <v>233</v>
      </c>
      <c r="B2" s="300"/>
      <c r="C2" s="300"/>
      <c r="D2" s="300"/>
      <c r="E2" s="300"/>
      <c r="F2" s="300"/>
    </row>
    <row r="3" spans="1:7" x14ac:dyDescent="0.25">
      <c r="A3" s="300" t="s">
        <v>232</v>
      </c>
      <c r="B3" s="300"/>
      <c r="C3" s="300"/>
      <c r="D3" s="300"/>
      <c r="E3" s="300"/>
      <c r="F3" s="300"/>
    </row>
    <row r="4" spans="1:7" x14ac:dyDescent="0.25">
      <c r="A4" s="242" t="s">
        <v>124</v>
      </c>
      <c r="B4" s="242" t="s">
        <v>0</v>
      </c>
      <c r="C4" s="36" t="s">
        <v>1</v>
      </c>
      <c r="D4" s="36" t="s">
        <v>2</v>
      </c>
      <c r="E4" s="36" t="s">
        <v>74</v>
      </c>
      <c r="F4" s="36" t="s">
        <v>3</v>
      </c>
      <c r="G4" s="243"/>
    </row>
    <row r="5" spans="1:7" x14ac:dyDescent="0.25">
      <c r="A5" s="200" t="s">
        <v>125</v>
      </c>
      <c r="B5" s="200" t="s">
        <v>119</v>
      </c>
      <c r="C5" s="244" t="s">
        <v>5</v>
      </c>
      <c r="D5" s="245">
        <f>+'PRESUPUESTO P'!I5</f>
        <v>0</v>
      </c>
      <c r="E5" s="245">
        <f>+'PRESUPUESTO P'!E5</f>
        <v>4</v>
      </c>
      <c r="F5" s="245">
        <f t="shared" ref="F5:F20" si="0">D5*E5</f>
        <v>0</v>
      </c>
    </row>
    <row r="6" spans="1:7" x14ac:dyDescent="0.25">
      <c r="A6" s="200" t="s">
        <v>126</v>
      </c>
      <c r="B6" s="200" t="s">
        <v>120</v>
      </c>
      <c r="C6" s="244" t="s">
        <v>5</v>
      </c>
      <c r="D6" s="245">
        <f>+'PRESUPUESTO P'!I7</f>
        <v>0</v>
      </c>
      <c r="E6" s="245">
        <f>+'PRESUPUESTO P'!E7</f>
        <v>120</v>
      </c>
      <c r="F6" s="245">
        <f t="shared" si="0"/>
        <v>0</v>
      </c>
    </row>
    <row r="7" spans="1:7" x14ac:dyDescent="0.25">
      <c r="A7" s="200" t="s">
        <v>127</v>
      </c>
      <c r="B7" s="200" t="s">
        <v>121</v>
      </c>
      <c r="C7" s="244" t="s">
        <v>6</v>
      </c>
      <c r="D7" s="245">
        <f>+'PRESUPUESTO P'!I9</f>
        <v>0</v>
      </c>
      <c r="E7" s="245">
        <f>+'PRESUPUESTO P'!E9</f>
        <v>160</v>
      </c>
      <c r="F7" s="245">
        <f t="shared" si="0"/>
        <v>0</v>
      </c>
    </row>
    <row r="8" spans="1:7" x14ac:dyDescent="0.25">
      <c r="A8" s="200" t="s">
        <v>128</v>
      </c>
      <c r="B8" s="200" t="s">
        <v>122</v>
      </c>
      <c r="C8" s="244" t="s">
        <v>6</v>
      </c>
      <c r="D8" s="245">
        <f>+'PRESUPUESTO P'!I10</f>
        <v>0</v>
      </c>
      <c r="E8" s="245">
        <f>+'PRESUPUESTO P'!E10</f>
        <v>7000</v>
      </c>
      <c r="F8" s="245">
        <f t="shared" si="0"/>
        <v>0</v>
      </c>
    </row>
    <row r="9" spans="1:7" x14ac:dyDescent="0.25">
      <c r="A9" s="200" t="s">
        <v>129</v>
      </c>
      <c r="B9" s="200" t="s">
        <v>123</v>
      </c>
      <c r="C9" s="244" t="s">
        <v>6</v>
      </c>
      <c r="D9" s="245">
        <f>+'PRESUPUESTO P'!I11</f>
        <v>0</v>
      </c>
      <c r="E9" s="245">
        <f>+'PRESUPUESTO P'!E11</f>
        <v>3300</v>
      </c>
      <c r="F9" s="245">
        <f t="shared" si="0"/>
        <v>0</v>
      </c>
    </row>
    <row r="10" spans="1:7" x14ac:dyDescent="0.25">
      <c r="A10" s="200" t="s">
        <v>130</v>
      </c>
      <c r="B10" s="200" t="s">
        <v>111</v>
      </c>
      <c r="C10" s="244" t="s">
        <v>6</v>
      </c>
      <c r="D10" s="245">
        <f>+'PRESUPUESTO P'!I12</f>
        <v>0</v>
      </c>
      <c r="E10" s="245">
        <f>+'PRESUPUESTO P'!E12</f>
        <v>300</v>
      </c>
      <c r="F10" s="245">
        <f t="shared" si="0"/>
        <v>0</v>
      </c>
    </row>
    <row r="11" spans="1:7" x14ac:dyDescent="0.25">
      <c r="A11" s="200" t="s">
        <v>131</v>
      </c>
      <c r="B11" s="200" t="s">
        <v>112</v>
      </c>
      <c r="C11" s="244" t="s">
        <v>6</v>
      </c>
      <c r="D11" s="245">
        <f>+'PRESUPUESTO P'!I13</f>
        <v>0</v>
      </c>
      <c r="E11" s="245">
        <f>+'PRESUPUESTO P'!E13</f>
        <v>950</v>
      </c>
      <c r="F11" s="245">
        <f t="shared" si="0"/>
        <v>0</v>
      </c>
    </row>
    <row r="12" spans="1:7" x14ac:dyDescent="0.25">
      <c r="A12" s="200" t="s">
        <v>132</v>
      </c>
      <c r="B12" s="200" t="s">
        <v>113</v>
      </c>
      <c r="C12" s="244" t="s">
        <v>6</v>
      </c>
      <c r="D12" s="245">
        <f>+'PRESUPUESTO P'!I14</f>
        <v>0</v>
      </c>
      <c r="E12" s="245">
        <f>+'PRESUPUESTO P'!E14</f>
        <v>180</v>
      </c>
      <c r="F12" s="245">
        <f t="shared" si="0"/>
        <v>0</v>
      </c>
    </row>
    <row r="13" spans="1:7" x14ac:dyDescent="0.25">
      <c r="A13" s="200" t="s">
        <v>133</v>
      </c>
      <c r="B13" s="200" t="s">
        <v>114</v>
      </c>
      <c r="C13" s="244" t="s">
        <v>6</v>
      </c>
      <c r="D13" s="245">
        <f>+'PRESUPUESTO P'!I15</f>
        <v>0</v>
      </c>
      <c r="E13" s="245">
        <f>+'PRESUPUESTO P'!E15</f>
        <v>5000</v>
      </c>
      <c r="F13" s="245">
        <f t="shared" si="0"/>
        <v>0</v>
      </c>
    </row>
    <row r="14" spans="1:7" x14ac:dyDescent="0.25">
      <c r="A14" s="200" t="s">
        <v>134</v>
      </c>
      <c r="B14" s="200" t="s">
        <v>87</v>
      </c>
      <c r="C14" s="244" t="s">
        <v>6</v>
      </c>
      <c r="D14" s="245">
        <f>+'PRESUPUESTO P'!I16</f>
        <v>0</v>
      </c>
      <c r="E14" s="245">
        <f>+'PRESUPUESTO P'!E16</f>
        <v>640</v>
      </c>
      <c r="F14" s="245">
        <f t="shared" si="0"/>
        <v>0</v>
      </c>
    </row>
    <row r="15" spans="1:7" x14ac:dyDescent="0.25">
      <c r="A15" s="200" t="s">
        <v>135</v>
      </c>
      <c r="B15" s="200" t="s">
        <v>90</v>
      </c>
      <c r="C15" s="244" t="s">
        <v>6</v>
      </c>
      <c r="D15" s="245">
        <f>+'PRESUPUESTO P'!I18</f>
        <v>0</v>
      </c>
      <c r="E15" s="245">
        <f>+'PRESUPUESTO P'!E18</f>
        <v>3200</v>
      </c>
      <c r="F15" s="245">
        <f t="shared" si="0"/>
        <v>0</v>
      </c>
    </row>
    <row r="16" spans="1:7" x14ac:dyDescent="0.25">
      <c r="A16" s="200" t="s">
        <v>136</v>
      </c>
      <c r="B16" s="200" t="s">
        <v>550</v>
      </c>
      <c r="C16" s="244" t="s">
        <v>6</v>
      </c>
      <c r="D16" s="245">
        <f>+'PRESUPUESTO P'!I19</f>
        <v>0</v>
      </c>
      <c r="E16" s="245">
        <f>+'PRESUPUESTO P'!E19</f>
        <v>1000</v>
      </c>
      <c r="F16" s="245">
        <f t="shared" si="0"/>
        <v>0</v>
      </c>
    </row>
    <row r="17" spans="1:7" x14ac:dyDescent="0.25">
      <c r="A17" s="200" t="s">
        <v>137</v>
      </c>
      <c r="B17" s="200" t="s">
        <v>108</v>
      </c>
      <c r="C17" s="244" t="s">
        <v>5</v>
      </c>
      <c r="D17" s="245">
        <f>+'PRESUPUESTO P'!I20</f>
        <v>0</v>
      </c>
      <c r="E17" s="245">
        <f>+'PRESUPUESTO P'!E20</f>
        <v>1</v>
      </c>
      <c r="F17" s="245">
        <f t="shared" si="0"/>
        <v>0</v>
      </c>
    </row>
    <row r="18" spans="1:7" x14ac:dyDescent="0.25">
      <c r="A18" s="200" t="s">
        <v>138</v>
      </c>
      <c r="B18" s="200" t="s">
        <v>109</v>
      </c>
      <c r="C18" s="244" t="s">
        <v>5</v>
      </c>
      <c r="D18" s="245">
        <f>+'PRESUPUESTO P'!I21</f>
        <v>0</v>
      </c>
      <c r="E18" s="245">
        <f>+'PRESUPUESTO P'!E21</f>
        <v>1.2</v>
      </c>
      <c r="F18" s="245">
        <f t="shared" si="0"/>
        <v>0</v>
      </c>
    </row>
    <row r="19" spans="1:7" x14ac:dyDescent="0.25">
      <c r="A19" s="200" t="s">
        <v>139</v>
      </c>
      <c r="B19" s="200" t="s">
        <v>115</v>
      </c>
      <c r="C19" s="244" t="s">
        <v>6</v>
      </c>
      <c r="D19" s="245">
        <f>+'PRESUPUESTO P'!I22</f>
        <v>0</v>
      </c>
      <c r="E19" s="245">
        <f>+'PRESUPUESTO P'!E22</f>
        <v>300</v>
      </c>
      <c r="F19" s="245">
        <f t="shared" si="0"/>
        <v>0</v>
      </c>
    </row>
    <row r="20" spans="1:7" x14ac:dyDescent="0.25">
      <c r="A20" s="200" t="s">
        <v>140</v>
      </c>
      <c r="B20" s="200" t="s">
        <v>116</v>
      </c>
      <c r="C20" s="244" t="s">
        <v>6</v>
      </c>
      <c r="D20" s="245">
        <f>+'PRESUPUESTO P'!I23</f>
        <v>0</v>
      </c>
      <c r="E20" s="245">
        <f>+'PRESUPUESTO P'!E23</f>
        <v>300</v>
      </c>
      <c r="F20" s="245">
        <f t="shared" si="0"/>
        <v>0</v>
      </c>
    </row>
    <row r="21" spans="1:7" x14ac:dyDescent="0.25">
      <c r="A21" s="294" t="s">
        <v>84</v>
      </c>
      <c r="B21" s="294"/>
      <c r="C21" s="294"/>
      <c r="D21" s="294"/>
      <c r="E21" s="294"/>
      <c r="F21" s="248">
        <f>SUM(F5:F20)</f>
        <v>0</v>
      </c>
      <c r="G21" s="246"/>
    </row>
    <row r="22" spans="1:7" x14ac:dyDescent="0.25">
      <c r="A22" s="299"/>
      <c r="B22" s="299"/>
      <c r="C22" s="299"/>
      <c r="D22" s="299"/>
      <c r="E22" s="299"/>
      <c r="F22" s="299"/>
    </row>
    <row r="23" spans="1:7" x14ac:dyDescent="0.25">
      <c r="A23" s="300" t="s">
        <v>231</v>
      </c>
      <c r="B23" s="300"/>
      <c r="C23" s="300"/>
      <c r="D23" s="300"/>
      <c r="E23" s="300"/>
      <c r="F23" s="300"/>
    </row>
    <row r="24" spans="1:7" x14ac:dyDescent="0.25">
      <c r="A24" s="242" t="s">
        <v>124</v>
      </c>
      <c r="B24" s="242" t="s">
        <v>0</v>
      </c>
      <c r="C24" s="36" t="s">
        <v>1</v>
      </c>
      <c r="D24" s="36" t="s">
        <v>2</v>
      </c>
      <c r="E24" s="36" t="s">
        <v>74</v>
      </c>
      <c r="F24" s="36" t="s">
        <v>3</v>
      </c>
    </row>
    <row r="25" spans="1:7" x14ac:dyDescent="0.25">
      <c r="A25" s="200" t="s">
        <v>141</v>
      </c>
      <c r="B25" s="200" t="str">
        <f>+B5</f>
        <v>Cable aislado 30 kV</v>
      </c>
      <c r="C25" s="200" t="str">
        <f t="shared" ref="C25:D25" si="1">+C5</f>
        <v>m</v>
      </c>
      <c r="D25" s="245">
        <f t="shared" si="1"/>
        <v>0</v>
      </c>
      <c r="E25" s="245">
        <f>+'PRESUPUESTO P'!E28</f>
        <v>1.0999999999999999</v>
      </c>
      <c r="F25" s="245">
        <f t="shared" ref="F25:F40" si="2">D25*E25</f>
        <v>0</v>
      </c>
    </row>
    <row r="26" spans="1:7" x14ac:dyDescent="0.25">
      <c r="A26" s="200" t="s">
        <v>142</v>
      </c>
      <c r="B26" s="200" t="str">
        <f t="shared" ref="B26:D40" si="3">+B6</f>
        <v>Cable aislado 220 kV</v>
      </c>
      <c r="C26" s="200" t="str">
        <f t="shared" si="3"/>
        <v>m</v>
      </c>
      <c r="D26" s="245">
        <f t="shared" si="3"/>
        <v>0</v>
      </c>
      <c r="E26" s="245">
        <f>+'PRESUPUESTO P'!E30</f>
        <v>6.5</v>
      </c>
      <c r="F26" s="245">
        <f t="shared" si="2"/>
        <v>0</v>
      </c>
    </row>
    <row r="27" spans="1:7" x14ac:dyDescent="0.25">
      <c r="A27" s="200" t="s">
        <v>143</v>
      </c>
      <c r="B27" s="200" t="str">
        <f t="shared" si="3"/>
        <v xml:space="preserve">Terminales 30 kV </v>
      </c>
      <c r="C27" s="200" t="str">
        <f t="shared" si="3"/>
        <v>ud</v>
      </c>
      <c r="D27" s="245">
        <f t="shared" si="3"/>
        <v>0</v>
      </c>
      <c r="E27" s="245">
        <f>+'PRESUPUESTO P'!E32</f>
        <v>220</v>
      </c>
      <c r="F27" s="245">
        <f t="shared" si="2"/>
        <v>0</v>
      </c>
    </row>
    <row r="28" spans="1:7" x14ac:dyDescent="0.25">
      <c r="A28" s="200" t="s">
        <v>144</v>
      </c>
      <c r="B28" s="200" t="str">
        <f t="shared" si="3"/>
        <v xml:space="preserve">Terminales 220 kV </v>
      </c>
      <c r="C28" s="200" t="str">
        <f t="shared" si="3"/>
        <v>ud</v>
      </c>
      <c r="D28" s="245">
        <f t="shared" si="3"/>
        <v>0</v>
      </c>
      <c r="E28" s="245">
        <f>+'PRESUPUESTO P'!E33</f>
        <v>2600</v>
      </c>
      <c r="F28" s="245">
        <f t="shared" si="2"/>
        <v>0</v>
      </c>
    </row>
    <row r="29" spans="1:7" x14ac:dyDescent="0.25">
      <c r="A29" s="200" t="s">
        <v>145</v>
      </c>
      <c r="B29" s="200" t="str">
        <f t="shared" si="3"/>
        <v xml:space="preserve">Autoválvulas 220 kV </v>
      </c>
      <c r="C29" s="200" t="str">
        <f t="shared" si="3"/>
        <v>ud</v>
      </c>
      <c r="D29" s="245">
        <f t="shared" si="3"/>
        <v>0</v>
      </c>
      <c r="E29" s="245">
        <f>+'PRESUPUESTO P'!E34</f>
        <v>1300</v>
      </c>
      <c r="F29" s="245">
        <f t="shared" si="2"/>
        <v>0</v>
      </c>
    </row>
    <row r="30" spans="1:7" x14ac:dyDescent="0.25">
      <c r="A30" s="200" t="s">
        <v>146</v>
      </c>
      <c r="B30" s="200" t="str">
        <f t="shared" si="3"/>
        <v>Cámaras de empalmes 30 kV</v>
      </c>
      <c r="C30" s="200" t="str">
        <f t="shared" si="3"/>
        <v>ud</v>
      </c>
      <c r="D30" s="245">
        <f t="shared" si="3"/>
        <v>0</v>
      </c>
      <c r="E30" s="245">
        <f>+'PRESUPUESTO P'!E35</f>
        <v>400</v>
      </c>
      <c r="F30" s="245">
        <f t="shared" si="2"/>
        <v>0</v>
      </c>
    </row>
    <row r="31" spans="1:7" x14ac:dyDescent="0.25">
      <c r="A31" s="200" t="s">
        <v>147</v>
      </c>
      <c r="B31" s="200" t="str">
        <f t="shared" si="3"/>
        <v>Cámaras de empalmes 220 kV</v>
      </c>
      <c r="C31" s="200" t="str">
        <f t="shared" si="3"/>
        <v>ud</v>
      </c>
      <c r="D31" s="245">
        <f t="shared" si="3"/>
        <v>0</v>
      </c>
      <c r="E31" s="245">
        <f>+'PRESUPUESTO P'!E36</f>
        <v>3100</v>
      </c>
      <c r="F31" s="245">
        <f t="shared" si="2"/>
        <v>0</v>
      </c>
    </row>
    <row r="32" spans="1:7" x14ac:dyDescent="0.25">
      <c r="A32" s="200" t="s">
        <v>148</v>
      </c>
      <c r="B32" s="200" t="str">
        <f t="shared" si="3"/>
        <v>Empalmes 30 kV</v>
      </c>
      <c r="C32" s="200" t="str">
        <f t="shared" si="3"/>
        <v>ud</v>
      </c>
      <c r="D32" s="245">
        <f t="shared" si="3"/>
        <v>0</v>
      </c>
      <c r="E32" s="245">
        <f>+'PRESUPUESTO P'!E37</f>
        <v>300</v>
      </c>
      <c r="F32" s="245">
        <f t="shared" si="2"/>
        <v>0</v>
      </c>
    </row>
    <row r="33" spans="1:7" x14ac:dyDescent="0.25">
      <c r="A33" s="200" t="s">
        <v>149</v>
      </c>
      <c r="B33" s="200" t="str">
        <f t="shared" si="3"/>
        <v>Empalmes 220 kV</v>
      </c>
      <c r="C33" s="200" t="str">
        <f t="shared" si="3"/>
        <v>ud</v>
      </c>
      <c r="D33" s="245">
        <f t="shared" si="3"/>
        <v>0</v>
      </c>
      <c r="E33" s="245">
        <f>+'PRESUPUESTO P'!E38</f>
        <v>2500</v>
      </c>
      <c r="F33" s="245">
        <f t="shared" si="2"/>
        <v>0</v>
      </c>
    </row>
    <row r="34" spans="1:7" x14ac:dyDescent="0.25">
      <c r="A34" s="200" t="s">
        <v>150</v>
      </c>
      <c r="B34" s="200" t="str">
        <f t="shared" si="3"/>
        <v>Caja de puesta a tierra 30 kV</v>
      </c>
      <c r="C34" s="200" t="str">
        <f t="shared" si="3"/>
        <v>ud</v>
      </c>
      <c r="D34" s="245">
        <f t="shared" si="3"/>
        <v>0</v>
      </c>
      <c r="E34" s="245">
        <f>+'PRESUPUESTO P'!E39</f>
        <v>220</v>
      </c>
      <c r="F34" s="245">
        <f t="shared" si="2"/>
        <v>0</v>
      </c>
    </row>
    <row r="35" spans="1:7" x14ac:dyDescent="0.25">
      <c r="A35" s="200" t="s">
        <v>151</v>
      </c>
      <c r="B35" s="200" t="str">
        <f t="shared" si="3"/>
        <v>Caja de puesta a tierra 220 kV</v>
      </c>
      <c r="C35" s="200" t="str">
        <f t="shared" si="3"/>
        <v>ud</v>
      </c>
      <c r="D35" s="245">
        <f t="shared" si="3"/>
        <v>0</v>
      </c>
      <c r="E35" s="245">
        <f>+'PRESUPUESTO P'!E41</f>
        <v>900</v>
      </c>
      <c r="F35" s="245">
        <f t="shared" si="2"/>
        <v>0</v>
      </c>
    </row>
    <row r="36" spans="1:7" x14ac:dyDescent="0.25">
      <c r="A36" s="200" t="s">
        <v>152</v>
      </c>
      <c r="B36" s="200" t="str">
        <f t="shared" si="3"/>
        <v>Pequeño material p.a.t pantallas</v>
      </c>
      <c r="C36" s="200" t="str">
        <f t="shared" si="3"/>
        <v>ud</v>
      </c>
      <c r="D36" s="245">
        <f t="shared" si="3"/>
        <v>0</v>
      </c>
      <c r="E36" s="245">
        <f>+'PRESUPUESTO P'!E42</f>
        <v>400</v>
      </c>
      <c r="F36" s="245">
        <f t="shared" si="2"/>
        <v>0</v>
      </c>
    </row>
    <row r="37" spans="1:7" x14ac:dyDescent="0.25">
      <c r="A37" s="200" t="s">
        <v>153</v>
      </c>
      <c r="B37" s="200" t="str">
        <f t="shared" si="3"/>
        <v>Cable comunicaciones FO ccto 30 kV</v>
      </c>
      <c r="C37" s="200" t="str">
        <f t="shared" si="3"/>
        <v>m</v>
      </c>
      <c r="D37" s="245">
        <f t="shared" si="3"/>
        <v>0</v>
      </c>
      <c r="E37" s="245">
        <f>+'PRESUPUESTO P'!E43</f>
        <v>1.9</v>
      </c>
      <c r="F37" s="245">
        <f t="shared" si="2"/>
        <v>0</v>
      </c>
    </row>
    <row r="38" spans="1:7" x14ac:dyDescent="0.25">
      <c r="A38" s="200" t="s">
        <v>154</v>
      </c>
      <c r="B38" s="200" t="str">
        <f t="shared" si="3"/>
        <v>Cable comunicaciones FO ccto 220 kV</v>
      </c>
      <c r="C38" s="200" t="str">
        <f t="shared" si="3"/>
        <v>m</v>
      </c>
      <c r="D38" s="245">
        <f t="shared" si="3"/>
        <v>0</v>
      </c>
      <c r="E38" s="245">
        <f>+'PRESUPUESTO P'!E44</f>
        <v>2.8</v>
      </c>
      <c r="F38" s="245">
        <f t="shared" si="2"/>
        <v>0</v>
      </c>
    </row>
    <row r="39" spans="1:7" x14ac:dyDescent="0.25">
      <c r="A39" s="200" t="s">
        <v>155</v>
      </c>
      <c r="B39" s="200" t="str">
        <f t="shared" si="3"/>
        <v>Cajas empalme FO FO ccto 30 kV</v>
      </c>
      <c r="C39" s="200" t="str">
        <f t="shared" si="3"/>
        <v>ud</v>
      </c>
      <c r="D39" s="245">
        <f t="shared" si="3"/>
        <v>0</v>
      </c>
      <c r="E39" s="245">
        <f>+'PRESUPUESTO P'!E45</f>
        <v>400</v>
      </c>
      <c r="F39" s="245">
        <f t="shared" si="2"/>
        <v>0</v>
      </c>
    </row>
    <row r="40" spans="1:7" x14ac:dyDescent="0.25">
      <c r="A40" s="200" t="s">
        <v>156</v>
      </c>
      <c r="B40" s="200" t="str">
        <f t="shared" si="3"/>
        <v>Cajas empalme FO FO ccto 220 kV</v>
      </c>
      <c r="C40" s="200" t="str">
        <f t="shared" si="3"/>
        <v>ud</v>
      </c>
      <c r="D40" s="245">
        <f t="shared" si="3"/>
        <v>0</v>
      </c>
      <c r="E40" s="245">
        <f>+'PRESUPUESTO P'!E46</f>
        <v>600</v>
      </c>
      <c r="F40" s="245">
        <f t="shared" si="2"/>
        <v>0</v>
      </c>
    </row>
    <row r="41" spans="1:7" x14ac:dyDescent="0.25">
      <c r="A41" s="294" t="s">
        <v>85</v>
      </c>
      <c r="B41" s="294"/>
      <c r="C41" s="294"/>
      <c r="D41" s="294"/>
      <c r="E41" s="294"/>
      <c r="F41" s="248">
        <f>SUM(F25:F40)</f>
        <v>0</v>
      </c>
      <c r="G41" s="246"/>
    </row>
    <row r="42" spans="1:7" x14ac:dyDescent="0.25">
      <c r="A42" s="299"/>
      <c r="B42" s="299"/>
      <c r="C42" s="299"/>
      <c r="D42" s="299"/>
      <c r="E42" s="299"/>
      <c r="F42" s="299"/>
    </row>
    <row r="43" spans="1:7" x14ac:dyDescent="0.25">
      <c r="A43" s="300" t="s">
        <v>230</v>
      </c>
      <c r="B43" s="300"/>
      <c r="C43" s="300"/>
      <c r="D43" s="300"/>
      <c r="E43" s="300"/>
      <c r="F43" s="300"/>
    </row>
    <row r="44" spans="1:7" x14ac:dyDescent="0.25">
      <c r="A44" s="242" t="s">
        <v>124</v>
      </c>
      <c r="B44" s="242" t="s">
        <v>0</v>
      </c>
      <c r="C44" s="36" t="s">
        <v>1</v>
      </c>
      <c r="D44" s="36" t="s">
        <v>2</v>
      </c>
      <c r="E44" s="36" t="s">
        <v>74</v>
      </c>
      <c r="F44" s="36" t="s">
        <v>3</v>
      </c>
    </row>
    <row r="45" spans="1:7" ht="38.25" x14ac:dyDescent="0.25">
      <c r="A45" s="200" t="s">
        <v>157</v>
      </c>
      <c r="B45" s="200" t="s">
        <v>164</v>
      </c>
      <c r="C45" s="244" t="s">
        <v>5</v>
      </c>
      <c r="D45" s="245">
        <f>+'PRESUPUESTO P'!I51</f>
        <v>0</v>
      </c>
      <c r="E45" s="245">
        <f>+'PRESUPUESTO P'!E51</f>
        <v>24</v>
      </c>
      <c r="F45" s="245">
        <f t="shared" ref="F45:F50" si="4">D45*E45</f>
        <v>0</v>
      </c>
    </row>
    <row r="46" spans="1:7" ht="38.25" x14ac:dyDescent="0.25">
      <c r="A46" s="200" t="s">
        <v>158</v>
      </c>
      <c r="B46" s="200" t="s">
        <v>549</v>
      </c>
      <c r="C46" s="244" t="s">
        <v>5</v>
      </c>
      <c r="D46" s="245">
        <f>+'PRESUPUESTO P'!I52</f>
        <v>0</v>
      </c>
      <c r="E46" s="245">
        <f>+'PRESUPUESTO P'!E52</f>
        <v>80</v>
      </c>
      <c r="F46" s="245">
        <f t="shared" si="4"/>
        <v>0</v>
      </c>
    </row>
    <row r="47" spans="1:7" x14ac:dyDescent="0.25">
      <c r="A47" s="200" t="s">
        <v>159</v>
      </c>
      <c r="B47" s="200" t="s">
        <v>162</v>
      </c>
      <c r="C47" s="244" t="s">
        <v>5</v>
      </c>
      <c r="D47" s="245">
        <f>+'PRESUPUESTO P'!I53</f>
        <v>0</v>
      </c>
      <c r="E47" s="245">
        <f>+'PRESUPUESTO P'!E53</f>
        <v>250</v>
      </c>
      <c r="F47" s="245">
        <f t="shared" si="4"/>
        <v>0</v>
      </c>
    </row>
    <row r="48" spans="1:7" x14ac:dyDescent="0.25">
      <c r="A48" s="200" t="s">
        <v>160</v>
      </c>
      <c r="B48" s="200" t="s">
        <v>163</v>
      </c>
      <c r="C48" s="244" t="s">
        <v>5</v>
      </c>
      <c r="D48" s="245">
        <f>+'PRESUPUESTO P'!I54</f>
        <v>0</v>
      </c>
      <c r="E48" s="245">
        <f>+'PRESUPUESTO P'!E54</f>
        <v>1300</v>
      </c>
      <c r="F48" s="245">
        <f t="shared" si="4"/>
        <v>0</v>
      </c>
    </row>
    <row r="49" spans="1:6" x14ac:dyDescent="0.25">
      <c r="A49" s="200" t="s">
        <v>161</v>
      </c>
      <c r="B49" s="200" t="str">
        <f>+B10</f>
        <v>Cámaras de empalmes 30 kV</v>
      </c>
      <c r="C49" s="244" t="s">
        <v>6</v>
      </c>
      <c r="D49" s="245">
        <f>+'PRESUPUESTO P'!I55</f>
        <v>0</v>
      </c>
      <c r="E49" s="245">
        <f>+'PRESUPUESTO P'!E55</f>
        <v>400</v>
      </c>
      <c r="F49" s="245">
        <f t="shared" si="4"/>
        <v>0</v>
      </c>
    </row>
    <row r="50" spans="1:6" x14ac:dyDescent="0.25">
      <c r="A50" s="200" t="s">
        <v>165</v>
      </c>
      <c r="B50" s="200" t="str">
        <f>+B11</f>
        <v>Cámaras de empalmes 220 kV</v>
      </c>
      <c r="C50" s="244" t="s">
        <v>6</v>
      </c>
      <c r="D50" s="245">
        <f>+'PRESUPUESTO P'!I56</f>
        <v>0</v>
      </c>
      <c r="E50" s="245">
        <f>+'PRESUPUESTO P'!E56</f>
        <v>7500</v>
      </c>
      <c r="F50" s="245">
        <f t="shared" si="4"/>
        <v>0</v>
      </c>
    </row>
    <row r="51" spans="1:6" x14ac:dyDescent="0.25">
      <c r="A51" s="294" t="s">
        <v>86</v>
      </c>
      <c r="B51" s="294"/>
      <c r="C51" s="294"/>
      <c r="D51" s="294"/>
      <c r="E51" s="294"/>
      <c r="F51" s="248">
        <f>SUM(F45:F50)</f>
        <v>0</v>
      </c>
    </row>
    <row r="52" spans="1:6" x14ac:dyDescent="0.25">
      <c r="A52" s="294" t="s">
        <v>234</v>
      </c>
      <c r="B52" s="294"/>
      <c r="C52" s="294"/>
      <c r="D52" s="294"/>
      <c r="E52" s="294"/>
      <c r="F52" s="248">
        <f>+F51+F41+F21</f>
        <v>0</v>
      </c>
    </row>
    <row r="53" spans="1:6" x14ac:dyDescent="0.25">
      <c r="A53" s="299"/>
      <c r="B53" s="299"/>
      <c r="C53" s="299"/>
      <c r="D53" s="299"/>
      <c r="E53" s="299"/>
      <c r="F53" s="299"/>
    </row>
    <row r="54" spans="1:6" x14ac:dyDescent="0.25">
      <c r="A54" s="300" t="s">
        <v>166</v>
      </c>
      <c r="B54" s="300"/>
      <c r="C54" s="300"/>
      <c r="D54" s="300"/>
      <c r="E54" s="300"/>
      <c r="F54" s="300"/>
    </row>
    <row r="55" spans="1:6" x14ac:dyDescent="0.25">
      <c r="A55" s="300" t="s">
        <v>229</v>
      </c>
      <c r="B55" s="300"/>
      <c r="C55" s="300"/>
      <c r="D55" s="300"/>
      <c r="E55" s="300"/>
      <c r="F55" s="300"/>
    </row>
    <row r="56" spans="1:6" x14ac:dyDescent="0.25">
      <c r="A56" s="242" t="s">
        <v>124</v>
      </c>
      <c r="B56" s="242" t="s">
        <v>0</v>
      </c>
      <c r="C56" s="36" t="s">
        <v>1</v>
      </c>
      <c r="D56" s="36" t="s">
        <v>2</v>
      </c>
      <c r="E56" s="36" t="s">
        <v>74</v>
      </c>
      <c r="F56" s="36" t="s">
        <v>3</v>
      </c>
    </row>
    <row r="57" spans="1:6" ht="25.5" x14ac:dyDescent="0.25">
      <c r="A57" s="200" t="s">
        <v>167</v>
      </c>
      <c r="B57" s="201" t="s">
        <v>168</v>
      </c>
      <c r="C57" s="244" t="s">
        <v>514</v>
      </c>
      <c r="D57" s="245">
        <f>+'PRESUPUESTO P'!I63</f>
        <v>0</v>
      </c>
      <c r="E57" s="245">
        <f>+'PRESUPUESTO P'!E63</f>
        <v>750</v>
      </c>
      <c r="F57" s="245">
        <f t="shared" ref="F57:F90" si="5">D57*E57</f>
        <v>0</v>
      </c>
    </row>
    <row r="58" spans="1:6" x14ac:dyDescent="0.25">
      <c r="A58" s="200" t="s">
        <v>192</v>
      </c>
      <c r="B58" s="201" t="s">
        <v>169</v>
      </c>
      <c r="C58" s="244" t="s">
        <v>4</v>
      </c>
      <c r="D58" s="245">
        <f>+'PRESUPUESTO P'!I64</f>
        <v>0</v>
      </c>
      <c r="E58" s="245">
        <f>+'PRESUPUESTO P'!E64</f>
        <v>1.8</v>
      </c>
      <c r="F58" s="245">
        <f t="shared" si="5"/>
        <v>0</v>
      </c>
    </row>
    <row r="59" spans="1:6" x14ac:dyDescent="0.25">
      <c r="A59" s="200" t="s">
        <v>193</v>
      </c>
      <c r="B59" s="201" t="s">
        <v>170</v>
      </c>
      <c r="C59" s="244" t="s">
        <v>4</v>
      </c>
      <c r="D59" s="245">
        <f>+'PRESUPUESTO P'!I65</f>
        <v>0</v>
      </c>
      <c r="E59" s="245">
        <f>+'PRESUPUESTO P'!E65</f>
        <v>1.8</v>
      </c>
      <c r="F59" s="245">
        <f t="shared" si="5"/>
        <v>0</v>
      </c>
    </row>
    <row r="60" spans="1:6" x14ac:dyDescent="0.25">
      <c r="A60" s="200" t="s">
        <v>194</v>
      </c>
      <c r="B60" s="201" t="s">
        <v>172</v>
      </c>
      <c r="C60" s="244" t="s">
        <v>4</v>
      </c>
      <c r="D60" s="245">
        <f>+'PRESUPUESTO P'!I66</f>
        <v>0</v>
      </c>
      <c r="E60" s="245">
        <f>+'PRESUPUESTO P'!E66</f>
        <v>2.0880000000000001</v>
      </c>
      <c r="F60" s="245">
        <f t="shared" si="5"/>
        <v>0</v>
      </c>
    </row>
    <row r="61" spans="1:6" x14ac:dyDescent="0.25">
      <c r="A61" s="200" t="s">
        <v>195</v>
      </c>
      <c r="B61" s="201" t="s">
        <v>171</v>
      </c>
      <c r="C61" s="244" t="s">
        <v>5</v>
      </c>
      <c r="D61" s="245">
        <f>+'PRESUPUESTO P'!I67</f>
        <v>0</v>
      </c>
      <c r="E61" s="245">
        <f>+'PRESUPUESTO P'!E67</f>
        <v>1.6</v>
      </c>
      <c r="F61" s="245">
        <f t="shared" si="5"/>
        <v>0</v>
      </c>
    </row>
    <row r="62" spans="1:6" x14ac:dyDescent="0.25">
      <c r="A62" s="200" t="s">
        <v>196</v>
      </c>
      <c r="B62" s="201" t="s">
        <v>173</v>
      </c>
      <c r="C62" s="244" t="s">
        <v>5</v>
      </c>
      <c r="D62" s="245">
        <f>+'PRESUPUESTO P'!I68</f>
        <v>0</v>
      </c>
      <c r="E62" s="245">
        <f>+'PRESUPUESTO P'!E68</f>
        <v>1.6</v>
      </c>
      <c r="F62" s="245">
        <f t="shared" si="5"/>
        <v>0</v>
      </c>
    </row>
    <row r="63" spans="1:6" ht="25.5" x14ac:dyDescent="0.25">
      <c r="A63" s="200" t="s">
        <v>197</v>
      </c>
      <c r="B63" s="201" t="s">
        <v>175</v>
      </c>
      <c r="C63" s="244" t="s">
        <v>6</v>
      </c>
      <c r="D63" s="245">
        <f>+'PRESUPUESTO P'!I69</f>
        <v>0</v>
      </c>
      <c r="E63" s="245">
        <f>+'PRESUPUESTO P'!E69</f>
        <v>20</v>
      </c>
      <c r="F63" s="245">
        <f t="shared" si="5"/>
        <v>0</v>
      </c>
    </row>
    <row r="64" spans="1:6" ht="38.25" x14ac:dyDescent="0.25">
      <c r="A64" s="200" t="s">
        <v>198</v>
      </c>
      <c r="B64" s="201" t="s">
        <v>177</v>
      </c>
      <c r="C64" s="244" t="s">
        <v>6</v>
      </c>
      <c r="D64" s="245">
        <f>+'PRESUPUESTO P'!I70</f>
        <v>0</v>
      </c>
      <c r="E64" s="245">
        <f>+'PRESUPUESTO P'!E70</f>
        <v>65</v>
      </c>
      <c r="F64" s="245">
        <f t="shared" si="5"/>
        <v>0</v>
      </c>
    </row>
    <row r="65" spans="1:6" ht="25.5" x14ac:dyDescent="0.25">
      <c r="A65" s="200" t="s">
        <v>199</v>
      </c>
      <c r="B65" s="201" t="s">
        <v>174</v>
      </c>
      <c r="C65" s="244" t="s">
        <v>6</v>
      </c>
      <c r="D65" s="245">
        <f>+'PRESUPUESTO P'!I71</f>
        <v>0</v>
      </c>
      <c r="E65" s="245">
        <f>+'PRESUPUESTO P'!E71</f>
        <v>85</v>
      </c>
      <c r="F65" s="245">
        <f t="shared" si="5"/>
        <v>0</v>
      </c>
    </row>
    <row r="66" spans="1:6" ht="25.5" x14ac:dyDescent="0.25">
      <c r="A66" s="200" t="s">
        <v>200</v>
      </c>
      <c r="B66" s="201" t="s">
        <v>176</v>
      </c>
      <c r="C66" s="244" t="s">
        <v>6</v>
      </c>
      <c r="D66" s="245">
        <f>+'PRESUPUESTO P'!I72</f>
        <v>0</v>
      </c>
      <c r="E66" s="245">
        <f>+'PRESUPUESTO P'!E72</f>
        <v>101</v>
      </c>
      <c r="F66" s="245">
        <f t="shared" si="5"/>
        <v>0</v>
      </c>
    </row>
    <row r="67" spans="1:6" ht="25.5" x14ac:dyDescent="0.25">
      <c r="A67" s="200" t="s">
        <v>201</v>
      </c>
      <c r="B67" s="201" t="s">
        <v>179</v>
      </c>
      <c r="C67" s="244" t="s">
        <v>6</v>
      </c>
      <c r="D67" s="245">
        <f>+'PRESUPUESTO P'!I73</f>
        <v>0</v>
      </c>
      <c r="E67" s="245">
        <f>+'PRESUPUESTO P'!E73</f>
        <v>240</v>
      </c>
      <c r="F67" s="245">
        <f t="shared" si="5"/>
        <v>0</v>
      </c>
    </row>
    <row r="68" spans="1:6" ht="38.25" x14ac:dyDescent="0.25">
      <c r="A68" s="200" t="s">
        <v>202</v>
      </c>
      <c r="B68" s="201" t="s">
        <v>178</v>
      </c>
      <c r="C68" s="244" t="s">
        <v>6</v>
      </c>
      <c r="D68" s="245">
        <f>+'PRESUPUESTO P'!I74</f>
        <v>0</v>
      </c>
      <c r="E68" s="245">
        <f>+'PRESUPUESTO P'!E74</f>
        <v>264</v>
      </c>
      <c r="F68" s="245">
        <f t="shared" si="5"/>
        <v>0</v>
      </c>
    </row>
    <row r="69" spans="1:6" ht="25.5" x14ac:dyDescent="0.25">
      <c r="A69" s="200" t="s">
        <v>203</v>
      </c>
      <c r="B69" s="201" t="s">
        <v>539</v>
      </c>
      <c r="C69" s="244" t="s">
        <v>6</v>
      </c>
      <c r="D69" s="245">
        <f>+'PRESUPUESTO P'!I75</f>
        <v>0</v>
      </c>
      <c r="E69" s="245">
        <f>+'PRESUPUESTO P'!E75</f>
        <v>290.40000000000003</v>
      </c>
      <c r="F69" s="245">
        <f t="shared" si="5"/>
        <v>0</v>
      </c>
    </row>
    <row r="70" spans="1:6" ht="25.5" x14ac:dyDescent="0.25">
      <c r="A70" s="200" t="s">
        <v>204</v>
      </c>
      <c r="B70" s="201" t="s">
        <v>181</v>
      </c>
      <c r="C70" s="244" t="s">
        <v>6</v>
      </c>
      <c r="D70" s="245">
        <f>+'PRESUPUESTO P'!I76</f>
        <v>0</v>
      </c>
      <c r="E70" s="245">
        <f>+'PRESUPUESTO P'!E76</f>
        <v>377.52000000000004</v>
      </c>
      <c r="F70" s="245">
        <f t="shared" si="5"/>
        <v>0</v>
      </c>
    </row>
    <row r="71" spans="1:6" x14ac:dyDescent="0.25">
      <c r="A71" s="200" t="s">
        <v>205</v>
      </c>
      <c r="B71" s="201" t="s">
        <v>182</v>
      </c>
      <c r="C71" s="244" t="s">
        <v>6</v>
      </c>
      <c r="D71" s="245">
        <f>+'PRESUPUESTO P'!I77</f>
        <v>0</v>
      </c>
      <c r="E71" s="245">
        <f>+'PRESUPUESTO P'!E77</f>
        <v>250</v>
      </c>
      <c r="F71" s="245">
        <f t="shared" si="5"/>
        <v>0</v>
      </c>
    </row>
    <row r="72" spans="1:6" ht="38.25" x14ac:dyDescent="0.25">
      <c r="A72" s="200" t="s">
        <v>206</v>
      </c>
      <c r="B72" s="201" t="s">
        <v>183</v>
      </c>
      <c r="C72" s="244" t="s">
        <v>6</v>
      </c>
      <c r="D72" s="245">
        <f>+'PRESUPUESTO P'!I78</f>
        <v>0</v>
      </c>
      <c r="E72" s="245">
        <f>+'PRESUPUESTO P'!E78</f>
        <v>275</v>
      </c>
      <c r="F72" s="245">
        <f t="shared" si="5"/>
        <v>0</v>
      </c>
    </row>
    <row r="73" spans="1:6" x14ac:dyDescent="0.25">
      <c r="A73" s="200" t="s">
        <v>207</v>
      </c>
      <c r="B73" s="201" t="s">
        <v>184</v>
      </c>
      <c r="C73" s="244" t="s">
        <v>6</v>
      </c>
      <c r="D73" s="245">
        <f>+'PRESUPUESTO P'!I79</f>
        <v>0</v>
      </c>
      <c r="E73" s="245">
        <f>+'PRESUPUESTO P'!E79</f>
        <v>302.5</v>
      </c>
      <c r="F73" s="245">
        <f t="shared" si="5"/>
        <v>0</v>
      </c>
    </row>
    <row r="74" spans="1:6" x14ac:dyDescent="0.25">
      <c r="A74" s="200" t="s">
        <v>208</v>
      </c>
      <c r="B74" s="201" t="s">
        <v>185</v>
      </c>
      <c r="C74" s="244" t="s">
        <v>6</v>
      </c>
      <c r="D74" s="245">
        <f>+'PRESUPUESTO P'!I80</f>
        <v>0</v>
      </c>
      <c r="E74" s="245">
        <f>+'PRESUPUESTO P'!E80</f>
        <v>393.25</v>
      </c>
      <c r="F74" s="245">
        <f t="shared" si="5"/>
        <v>0</v>
      </c>
    </row>
    <row r="75" spans="1:6" ht="25.5" x14ac:dyDescent="0.25">
      <c r="A75" s="200" t="s">
        <v>209</v>
      </c>
      <c r="B75" s="201" t="s">
        <v>189</v>
      </c>
      <c r="C75" s="244" t="s">
        <v>6</v>
      </c>
      <c r="D75" s="245">
        <f>+'PRESUPUESTO P'!I81</f>
        <v>0</v>
      </c>
      <c r="E75" s="245">
        <f>+'PRESUPUESTO P'!E81</f>
        <v>40</v>
      </c>
      <c r="F75" s="245">
        <f t="shared" si="5"/>
        <v>0</v>
      </c>
    </row>
    <row r="76" spans="1:6" ht="25.5" x14ac:dyDescent="0.25">
      <c r="A76" s="200" t="s">
        <v>210</v>
      </c>
      <c r="B76" s="201" t="s">
        <v>190</v>
      </c>
      <c r="C76" s="244" t="s">
        <v>6</v>
      </c>
      <c r="D76" s="245">
        <f>+'PRESUPUESTO P'!I82</f>
        <v>0</v>
      </c>
      <c r="E76" s="245">
        <f>+'PRESUPUESTO P'!E82</f>
        <v>40</v>
      </c>
      <c r="F76" s="245">
        <f t="shared" si="5"/>
        <v>0</v>
      </c>
    </row>
    <row r="77" spans="1:6" ht="25.5" x14ac:dyDescent="0.25">
      <c r="A77" s="200" t="s">
        <v>211</v>
      </c>
      <c r="B77" s="201" t="s">
        <v>191</v>
      </c>
      <c r="C77" s="244" t="s">
        <v>6</v>
      </c>
      <c r="D77" s="245">
        <f>+'PRESUPUESTO P'!I83</f>
        <v>0</v>
      </c>
      <c r="E77" s="245">
        <f>+'PRESUPUESTO P'!E83</f>
        <v>40</v>
      </c>
      <c r="F77" s="245">
        <f t="shared" si="5"/>
        <v>0</v>
      </c>
    </row>
    <row r="78" spans="1:6" ht="25.5" x14ac:dyDescent="0.25">
      <c r="A78" s="200" t="s">
        <v>212</v>
      </c>
      <c r="B78" s="201" t="s">
        <v>186</v>
      </c>
      <c r="C78" s="244" t="s">
        <v>6</v>
      </c>
      <c r="D78" s="245">
        <f>+'PRESUPUESTO P'!I84</f>
        <v>0</v>
      </c>
      <c r="E78" s="245">
        <f>+'PRESUPUESTO P'!E84</f>
        <v>52</v>
      </c>
      <c r="F78" s="245">
        <f t="shared" si="5"/>
        <v>0</v>
      </c>
    </row>
    <row r="79" spans="1:6" ht="25.5" x14ac:dyDescent="0.25">
      <c r="A79" s="200" t="s">
        <v>213</v>
      </c>
      <c r="B79" s="201" t="s">
        <v>187</v>
      </c>
      <c r="C79" s="244" t="s">
        <v>6</v>
      </c>
      <c r="D79" s="245">
        <f>+'PRESUPUESTO P'!I85</f>
        <v>0</v>
      </c>
      <c r="E79" s="245">
        <f>+'PRESUPUESTO P'!E85</f>
        <v>52</v>
      </c>
      <c r="F79" s="245">
        <f t="shared" si="5"/>
        <v>0</v>
      </c>
    </row>
    <row r="80" spans="1:6" ht="25.5" x14ac:dyDescent="0.25">
      <c r="A80" s="200" t="s">
        <v>214</v>
      </c>
      <c r="B80" s="201" t="s">
        <v>188</v>
      </c>
      <c r="C80" s="244" t="s">
        <v>6</v>
      </c>
      <c r="D80" s="245">
        <f>+'PRESUPUESTO P'!I86</f>
        <v>0</v>
      </c>
      <c r="E80" s="245">
        <f>+'PRESUPUESTO P'!E86</f>
        <v>52</v>
      </c>
      <c r="F80" s="245">
        <f t="shared" si="5"/>
        <v>0</v>
      </c>
    </row>
    <row r="81" spans="1:6" x14ac:dyDescent="0.25">
      <c r="A81" s="200" t="s">
        <v>215</v>
      </c>
      <c r="B81" s="201" t="s">
        <v>217</v>
      </c>
      <c r="C81" s="244" t="s">
        <v>6</v>
      </c>
      <c r="D81" s="245">
        <f>+'PRESUPUESTO P'!I87</f>
        <v>0</v>
      </c>
      <c r="E81" s="245">
        <f>+'PRESUPUESTO P'!E87</f>
        <v>12</v>
      </c>
      <c r="F81" s="245">
        <f t="shared" si="5"/>
        <v>0</v>
      </c>
    </row>
    <row r="82" spans="1:6" ht="25.5" x14ac:dyDescent="0.25">
      <c r="A82" s="200" t="s">
        <v>216</v>
      </c>
      <c r="B82" s="201" t="s">
        <v>604</v>
      </c>
      <c r="C82" s="244" t="s">
        <v>6</v>
      </c>
      <c r="D82" s="245">
        <f>+'PRESUPUESTO P'!I88</f>
        <v>0</v>
      </c>
      <c r="E82" s="245">
        <f>+'PRESUPUESTO P'!E88</f>
        <v>12</v>
      </c>
      <c r="F82" s="245">
        <f t="shared" si="5"/>
        <v>0</v>
      </c>
    </row>
    <row r="83" spans="1:6" ht="25.5" x14ac:dyDescent="0.25">
      <c r="A83" s="200" t="s">
        <v>220</v>
      </c>
      <c r="B83" s="201" t="s">
        <v>605</v>
      </c>
      <c r="C83" s="244" t="s">
        <v>6</v>
      </c>
      <c r="D83" s="245">
        <f>+'PRESUPUESTO P'!I89</f>
        <v>0</v>
      </c>
      <c r="E83" s="245">
        <f>+'PRESUPUESTO P'!E89</f>
        <v>12</v>
      </c>
      <c r="F83" s="245">
        <f t="shared" si="5"/>
        <v>0</v>
      </c>
    </row>
    <row r="84" spans="1:6" ht="25.5" x14ac:dyDescent="0.25">
      <c r="A84" s="200" t="s">
        <v>551</v>
      </c>
      <c r="B84" s="201" t="s">
        <v>606</v>
      </c>
      <c r="C84" s="244" t="s">
        <v>6</v>
      </c>
      <c r="D84" s="245">
        <f>+'PRESUPUESTO P'!I90</f>
        <v>0</v>
      </c>
      <c r="E84" s="245">
        <f>+'PRESUPUESTO P'!E90</f>
        <v>25.200000000000003</v>
      </c>
      <c r="F84" s="245">
        <f t="shared" si="5"/>
        <v>0</v>
      </c>
    </row>
    <row r="85" spans="1:6" x14ac:dyDescent="0.25">
      <c r="A85" s="200" t="s">
        <v>552</v>
      </c>
      <c r="B85" s="201" t="s">
        <v>607</v>
      </c>
      <c r="C85" s="244" t="s">
        <v>6</v>
      </c>
      <c r="D85" s="245">
        <f>+'PRESUPUESTO P'!I91</f>
        <v>0</v>
      </c>
      <c r="E85" s="245">
        <f>+'PRESUPUESTO P'!E91</f>
        <v>12</v>
      </c>
      <c r="F85" s="245">
        <f t="shared" si="5"/>
        <v>0</v>
      </c>
    </row>
    <row r="86" spans="1:6" x14ac:dyDescent="0.25">
      <c r="A86" s="200" t="s">
        <v>553</v>
      </c>
      <c r="B86" s="201" t="s">
        <v>608</v>
      </c>
      <c r="C86" s="244" t="s">
        <v>6</v>
      </c>
      <c r="D86" s="245">
        <f>+'PRESUPUESTO P'!I92</f>
        <v>0</v>
      </c>
      <c r="E86" s="245">
        <f>+'PRESUPUESTO P'!E92</f>
        <v>12</v>
      </c>
      <c r="F86" s="245">
        <f t="shared" si="5"/>
        <v>0</v>
      </c>
    </row>
    <row r="87" spans="1:6" x14ac:dyDescent="0.25">
      <c r="A87" s="200" t="s">
        <v>554</v>
      </c>
      <c r="B87" s="201" t="s">
        <v>218</v>
      </c>
      <c r="C87" s="244" t="s">
        <v>6</v>
      </c>
      <c r="D87" s="245">
        <f>+'PRESUPUESTO P'!I93</f>
        <v>0</v>
      </c>
      <c r="E87" s="245">
        <f>+'PRESUPUESTO P'!E93</f>
        <v>11</v>
      </c>
      <c r="F87" s="245">
        <f t="shared" si="5"/>
        <v>0</v>
      </c>
    </row>
    <row r="88" spans="1:6" x14ac:dyDescent="0.25">
      <c r="A88" s="200" t="s">
        <v>557</v>
      </c>
      <c r="B88" s="201" t="s">
        <v>219</v>
      </c>
      <c r="C88" s="244" t="s">
        <v>6</v>
      </c>
      <c r="D88" s="245">
        <f>+'PRESUPUESTO P'!I94</f>
        <v>0</v>
      </c>
      <c r="E88" s="245">
        <f>+'PRESUPUESTO P'!E94</f>
        <v>11</v>
      </c>
      <c r="F88" s="245">
        <f t="shared" si="5"/>
        <v>0</v>
      </c>
    </row>
    <row r="89" spans="1:6" x14ac:dyDescent="0.25">
      <c r="A89" s="200" t="s">
        <v>558</v>
      </c>
      <c r="B89" s="201" t="s">
        <v>221</v>
      </c>
      <c r="C89" s="244" t="s">
        <v>6</v>
      </c>
      <c r="D89" s="245">
        <f>+'PRESUPUESTO P'!I95</f>
        <v>0</v>
      </c>
      <c r="E89" s="245">
        <f>+'PRESUPUESTO P'!E95</f>
        <v>120</v>
      </c>
      <c r="F89" s="245">
        <f t="shared" si="5"/>
        <v>0</v>
      </c>
    </row>
    <row r="90" spans="1:6" x14ac:dyDescent="0.25">
      <c r="A90" s="200" t="s">
        <v>561</v>
      </c>
      <c r="B90" s="201" t="s">
        <v>562</v>
      </c>
      <c r="C90" s="244" t="s">
        <v>6</v>
      </c>
      <c r="D90" s="245">
        <f>+'PRESUPUESTO P'!I96</f>
        <v>0</v>
      </c>
      <c r="E90" s="245">
        <f>+'PRESUPUESTO P'!E96</f>
        <v>500</v>
      </c>
      <c r="F90" s="245">
        <f t="shared" si="5"/>
        <v>0</v>
      </c>
    </row>
    <row r="91" spans="1:6" x14ac:dyDescent="0.25">
      <c r="A91" s="294" t="s">
        <v>78</v>
      </c>
      <c r="B91" s="294"/>
      <c r="C91" s="294"/>
      <c r="D91" s="294"/>
      <c r="E91" s="294"/>
      <c r="F91" s="248">
        <f>SUM(F57:F90)</f>
        <v>0</v>
      </c>
    </row>
    <row r="92" spans="1:6" x14ac:dyDescent="0.25">
      <c r="A92" s="299"/>
      <c r="B92" s="299"/>
      <c r="C92" s="299"/>
      <c r="D92" s="299"/>
      <c r="E92" s="299"/>
      <c r="F92" s="299"/>
    </row>
    <row r="93" spans="1:6" x14ac:dyDescent="0.25">
      <c r="A93" s="300" t="s">
        <v>228</v>
      </c>
      <c r="B93" s="300"/>
      <c r="C93" s="300"/>
      <c r="D93" s="300"/>
      <c r="E93" s="300"/>
      <c r="F93" s="300"/>
    </row>
    <row r="94" spans="1:6" x14ac:dyDescent="0.25">
      <c r="A94" s="242" t="s">
        <v>124</v>
      </c>
      <c r="B94" s="242" t="s">
        <v>0</v>
      </c>
      <c r="C94" s="36" t="s">
        <v>1</v>
      </c>
      <c r="D94" s="36" t="s">
        <v>2</v>
      </c>
      <c r="E94" s="36" t="s">
        <v>74</v>
      </c>
      <c r="F94" s="36" t="s">
        <v>3</v>
      </c>
    </row>
    <row r="95" spans="1:6" ht="25.5" x14ac:dyDescent="0.25">
      <c r="A95" s="200" t="s">
        <v>167</v>
      </c>
      <c r="B95" s="201" t="str">
        <f>+B57</f>
        <v>Apoyo metálico de celosia de acero galvanizados.</v>
      </c>
      <c r="C95" s="244" t="s">
        <v>514</v>
      </c>
      <c r="D95" s="245">
        <f>+D57</f>
        <v>0</v>
      </c>
      <c r="E95" s="245">
        <f>+'PRESUPUESTO P'!E101</f>
        <v>200</v>
      </c>
      <c r="F95" s="245">
        <f>D95*E95</f>
        <v>0</v>
      </c>
    </row>
    <row r="96" spans="1:6" x14ac:dyDescent="0.25">
      <c r="A96" s="200" t="s">
        <v>192</v>
      </c>
      <c r="B96" s="201" t="str">
        <f t="shared" ref="B96:C120" si="6">+B58</f>
        <v>Conductor tipo LA280 cctos 30 kV</v>
      </c>
      <c r="C96" s="244" t="str">
        <f t="shared" ref="C96:C119" si="7">+C58</f>
        <v>kg</v>
      </c>
      <c r="D96" s="245">
        <f t="shared" ref="D96:D128" si="8">+D58</f>
        <v>0</v>
      </c>
      <c r="E96" s="245">
        <f>+'PRESUPUESTO P'!E102</f>
        <v>1.3</v>
      </c>
      <c r="F96" s="245">
        <f t="shared" ref="F96:F128" si="9">D96*E96</f>
        <v>0</v>
      </c>
    </row>
    <row r="97" spans="1:6" x14ac:dyDescent="0.25">
      <c r="A97" s="200" t="s">
        <v>193</v>
      </c>
      <c r="B97" s="201" t="str">
        <f t="shared" si="6"/>
        <v>Conductor tipo LA280 cctos 220 kV</v>
      </c>
      <c r="C97" s="244" t="str">
        <f t="shared" si="7"/>
        <v>kg</v>
      </c>
      <c r="D97" s="245">
        <f t="shared" si="8"/>
        <v>0</v>
      </c>
      <c r="E97" s="245">
        <f>+'PRESUPUESTO P'!E103</f>
        <v>1.3</v>
      </c>
      <c r="F97" s="245">
        <f t="shared" si="9"/>
        <v>0</v>
      </c>
    </row>
    <row r="98" spans="1:6" x14ac:dyDescent="0.25">
      <c r="A98" s="200" t="s">
        <v>194</v>
      </c>
      <c r="B98" s="201" t="str">
        <f t="shared" si="6"/>
        <v>Conductor tipo LA510 cctos 220 kV</v>
      </c>
      <c r="C98" s="244" t="str">
        <f t="shared" si="7"/>
        <v>kg</v>
      </c>
      <c r="D98" s="245">
        <f t="shared" si="8"/>
        <v>0</v>
      </c>
      <c r="E98" s="245">
        <f>+'PRESUPUESTO P'!E104</f>
        <v>2.08</v>
      </c>
      <c r="F98" s="245">
        <f t="shared" si="9"/>
        <v>0</v>
      </c>
    </row>
    <row r="99" spans="1:6" x14ac:dyDescent="0.25">
      <c r="A99" s="200" t="s">
        <v>195</v>
      </c>
      <c r="B99" s="201" t="str">
        <f t="shared" si="6"/>
        <v>Cable compuesto OPGW cctos 30 kV</v>
      </c>
      <c r="C99" s="244" t="str">
        <f t="shared" si="7"/>
        <v>m</v>
      </c>
      <c r="D99" s="245">
        <f t="shared" si="8"/>
        <v>0</v>
      </c>
      <c r="E99" s="245">
        <f>+'PRESUPUESTO P'!E105</f>
        <v>2.5</v>
      </c>
      <c r="F99" s="245">
        <f t="shared" si="9"/>
        <v>0</v>
      </c>
    </row>
    <row r="100" spans="1:6" x14ac:dyDescent="0.25">
      <c r="A100" s="200" t="s">
        <v>196</v>
      </c>
      <c r="B100" s="201" t="str">
        <f t="shared" si="6"/>
        <v>Cable compuesto OPGW cctos 220 kV</v>
      </c>
      <c r="C100" s="244" t="str">
        <f t="shared" si="7"/>
        <v>m</v>
      </c>
      <c r="D100" s="245">
        <f t="shared" si="8"/>
        <v>0</v>
      </c>
      <c r="E100" s="245">
        <f>+'PRESUPUESTO P'!E106</f>
        <v>2.5</v>
      </c>
      <c r="F100" s="245">
        <f t="shared" si="9"/>
        <v>0</v>
      </c>
    </row>
    <row r="101" spans="1:6" ht="25.5" x14ac:dyDescent="0.25">
      <c r="A101" s="200" t="s">
        <v>197</v>
      </c>
      <c r="B101" s="201" t="str">
        <f t="shared" si="6"/>
        <v>Aislador Composite ccto 30 kV DX LA280</v>
      </c>
      <c r="C101" s="244" t="str">
        <f t="shared" si="7"/>
        <v>ud</v>
      </c>
      <c r="D101" s="245">
        <f t="shared" si="8"/>
        <v>0</v>
      </c>
      <c r="E101" s="245">
        <f>+'PRESUPUESTO P'!E107</f>
        <v>43</v>
      </c>
      <c r="F101" s="245">
        <f t="shared" si="9"/>
        <v>0</v>
      </c>
    </row>
    <row r="102" spans="1:6" ht="38.25" x14ac:dyDescent="0.25">
      <c r="A102" s="200" t="s">
        <v>198</v>
      </c>
      <c r="B102" s="201" t="str">
        <f t="shared" si="6"/>
        <v>Aislador Composite ccto 30 kV DX LA280 en apoyos compartidos 220 kV-ap06-08-14</v>
      </c>
      <c r="C102" s="244" t="str">
        <f t="shared" si="7"/>
        <v>ud</v>
      </c>
      <c r="D102" s="245">
        <f t="shared" si="8"/>
        <v>0</v>
      </c>
      <c r="E102" s="245">
        <f>+'PRESUPUESTO P'!E108</f>
        <v>47.300000000000004</v>
      </c>
      <c r="F102" s="245">
        <f t="shared" si="9"/>
        <v>0</v>
      </c>
    </row>
    <row r="103" spans="1:6" ht="25.5" x14ac:dyDescent="0.25">
      <c r="A103" s="200" t="s">
        <v>199</v>
      </c>
      <c r="B103" s="201" t="str">
        <f t="shared" si="6"/>
        <v>Aislador Composite ccto 220 kV DX LA280</v>
      </c>
      <c r="C103" s="244" t="str">
        <f t="shared" si="7"/>
        <v>ud</v>
      </c>
      <c r="D103" s="245">
        <f t="shared" si="8"/>
        <v>0</v>
      </c>
      <c r="E103" s="245">
        <f>+'PRESUPUESTO P'!E109</f>
        <v>52.030000000000008</v>
      </c>
      <c r="F103" s="245">
        <f t="shared" si="9"/>
        <v>0</v>
      </c>
    </row>
    <row r="104" spans="1:6" ht="25.5" x14ac:dyDescent="0.25">
      <c r="A104" s="200" t="s">
        <v>200</v>
      </c>
      <c r="B104" s="201" t="str">
        <f t="shared" si="6"/>
        <v>Aislador Composite ccto 220 kV TX LA510</v>
      </c>
      <c r="C104" s="244" t="str">
        <f t="shared" si="7"/>
        <v>ud</v>
      </c>
      <c r="D104" s="245">
        <f t="shared" si="8"/>
        <v>0</v>
      </c>
      <c r="E104" s="245">
        <f>+'PRESUPUESTO P'!E110</f>
        <v>67.63900000000001</v>
      </c>
      <c r="F104" s="245">
        <f t="shared" si="9"/>
        <v>0</v>
      </c>
    </row>
    <row r="105" spans="1:6" ht="25.5" x14ac:dyDescent="0.25">
      <c r="A105" s="200" t="s">
        <v>201</v>
      </c>
      <c r="B105" s="201" t="str">
        <f t="shared" si="6"/>
        <v>Cadena suspensión ccto 30 kV DX LA280</v>
      </c>
      <c r="C105" s="244" t="str">
        <f t="shared" si="7"/>
        <v>ud</v>
      </c>
      <c r="D105" s="245">
        <f t="shared" si="8"/>
        <v>0</v>
      </c>
      <c r="E105" s="245">
        <f>+'PRESUPUESTO P'!E111</f>
        <v>170</v>
      </c>
      <c r="F105" s="245">
        <f t="shared" si="9"/>
        <v>0</v>
      </c>
    </row>
    <row r="106" spans="1:6" ht="38.25" x14ac:dyDescent="0.25">
      <c r="A106" s="200" t="s">
        <v>202</v>
      </c>
      <c r="B106" s="201" t="str">
        <f t="shared" si="6"/>
        <v>Cadena suspensión ccto 30 kV DX LA280 en apoyos compartidos 220 kV-ap06-08-14</v>
      </c>
      <c r="C106" s="244" t="str">
        <f t="shared" si="7"/>
        <v>ud</v>
      </c>
      <c r="D106" s="245">
        <f t="shared" si="8"/>
        <v>0</v>
      </c>
      <c r="E106" s="245">
        <f>+'PRESUPUESTO P'!E112</f>
        <v>187.00000000000003</v>
      </c>
      <c r="F106" s="245">
        <f t="shared" si="9"/>
        <v>0</v>
      </c>
    </row>
    <row r="107" spans="1:6" ht="25.5" x14ac:dyDescent="0.25">
      <c r="A107" s="200" t="s">
        <v>203</v>
      </c>
      <c r="B107" s="201" t="str">
        <f t="shared" si="6"/>
        <v>Cadena suspensión ccto 220 kV DX LA280</v>
      </c>
      <c r="C107" s="244" t="str">
        <f t="shared" si="7"/>
        <v>ud</v>
      </c>
      <c r="D107" s="245">
        <f t="shared" si="8"/>
        <v>0</v>
      </c>
      <c r="E107" s="245">
        <f>+'PRESUPUESTO P'!E113</f>
        <v>205.70000000000005</v>
      </c>
      <c r="F107" s="245">
        <f t="shared" si="9"/>
        <v>0</v>
      </c>
    </row>
    <row r="108" spans="1:6" ht="25.5" x14ac:dyDescent="0.25">
      <c r="A108" s="200" t="s">
        <v>204</v>
      </c>
      <c r="B108" s="201" t="str">
        <f t="shared" si="6"/>
        <v>Cadena suspensión ccto 220 kV TX LA510</v>
      </c>
      <c r="C108" s="244" t="str">
        <f t="shared" si="7"/>
        <v>ud</v>
      </c>
      <c r="D108" s="245">
        <f t="shared" si="8"/>
        <v>0</v>
      </c>
      <c r="E108" s="245">
        <f>+'PRESUPUESTO P'!E114</f>
        <v>267.41000000000008</v>
      </c>
      <c r="F108" s="245">
        <f t="shared" si="9"/>
        <v>0</v>
      </c>
    </row>
    <row r="109" spans="1:6" x14ac:dyDescent="0.25">
      <c r="A109" s="200" t="s">
        <v>205</v>
      </c>
      <c r="B109" s="201" t="str">
        <f t="shared" si="6"/>
        <v>Cadena amarre ccto 30 kV DX LA280</v>
      </c>
      <c r="C109" s="244" t="str">
        <f t="shared" si="7"/>
        <v>ud</v>
      </c>
      <c r="D109" s="245">
        <f t="shared" si="8"/>
        <v>0</v>
      </c>
      <c r="E109" s="245">
        <f>+'PRESUPUESTO P'!E115</f>
        <v>385</v>
      </c>
      <c r="F109" s="245">
        <f t="shared" si="9"/>
        <v>0</v>
      </c>
    </row>
    <row r="110" spans="1:6" ht="38.25" x14ac:dyDescent="0.25">
      <c r="A110" s="200" t="s">
        <v>206</v>
      </c>
      <c r="B110" s="201" t="str">
        <f t="shared" si="6"/>
        <v>Cadena amarre ccto 30 kV DX LA280 en apoyos compartidos 220 kV-ap06-08-14</v>
      </c>
      <c r="C110" s="244" t="str">
        <f t="shared" si="7"/>
        <v>ud</v>
      </c>
      <c r="D110" s="245">
        <f t="shared" si="8"/>
        <v>0</v>
      </c>
      <c r="E110" s="245">
        <f>+'PRESUPUESTO P'!E116</f>
        <v>423.50000000000006</v>
      </c>
      <c r="F110" s="245">
        <f t="shared" si="9"/>
        <v>0</v>
      </c>
    </row>
    <row r="111" spans="1:6" x14ac:dyDescent="0.25">
      <c r="A111" s="200" t="s">
        <v>207</v>
      </c>
      <c r="B111" s="201" t="str">
        <f t="shared" si="6"/>
        <v>Cadena amarre ccto 220 kV DX LA280</v>
      </c>
      <c r="C111" s="244" t="str">
        <f t="shared" si="7"/>
        <v>ud</v>
      </c>
      <c r="D111" s="245">
        <f t="shared" si="8"/>
        <v>0</v>
      </c>
      <c r="E111" s="245">
        <f>+'PRESUPUESTO P'!E117</f>
        <v>465.85000000000008</v>
      </c>
      <c r="F111" s="245">
        <f t="shared" si="9"/>
        <v>0</v>
      </c>
    </row>
    <row r="112" spans="1:6" x14ac:dyDescent="0.25">
      <c r="A112" s="200" t="s">
        <v>208</v>
      </c>
      <c r="B112" s="201" t="str">
        <f t="shared" si="6"/>
        <v>Cadena amarre ccto 220 kV TX LA510</v>
      </c>
      <c r="C112" s="244" t="str">
        <f t="shared" si="7"/>
        <v>ud</v>
      </c>
      <c r="D112" s="245">
        <f t="shared" si="8"/>
        <v>0</v>
      </c>
      <c r="E112" s="245">
        <f>+'PRESUPUESTO P'!E118</f>
        <v>605.60500000000013</v>
      </c>
      <c r="F112" s="245">
        <f t="shared" si="9"/>
        <v>0</v>
      </c>
    </row>
    <row r="113" spans="1:6" ht="25.5" x14ac:dyDescent="0.25">
      <c r="A113" s="200" t="s">
        <v>209</v>
      </c>
      <c r="B113" s="201" t="str">
        <f t="shared" si="6"/>
        <v>Cadena suspensión OPGW ccto 30 kV DX LA280</v>
      </c>
      <c r="C113" s="244" t="str">
        <f t="shared" si="7"/>
        <v>ud</v>
      </c>
      <c r="D113" s="245">
        <f t="shared" si="8"/>
        <v>0</v>
      </c>
      <c r="E113" s="245">
        <f>+'PRESUPUESTO P'!E119</f>
        <v>120</v>
      </c>
      <c r="F113" s="245">
        <f t="shared" si="9"/>
        <v>0</v>
      </c>
    </row>
    <row r="114" spans="1:6" ht="25.5" x14ac:dyDescent="0.25">
      <c r="A114" s="200" t="s">
        <v>210</v>
      </c>
      <c r="B114" s="201" t="str">
        <f t="shared" si="6"/>
        <v>Cadena suspensión OPGW ccto 220 kV DX LA280</v>
      </c>
      <c r="C114" s="244" t="str">
        <f t="shared" si="7"/>
        <v>ud</v>
      </c>
      <c r="D114" s="245">
        <f t="shared" si="8"/>
        <v>0</v>
      </c>
      <c r="E114" s="245">
        <f>+'PRESUPUESTO P'!E120</f>
        <v>120</v>
      </c>
      <c r="F114" s="245">
        <f t="shared" si="9"/>
        <v>0</v>
      </c>
    </row>
    <row r="115" spans="1:6" ht="25.5" x14ac:dyDescent="0.25">
      <c r="A115" s="200" t="s">
        <v>211</v>
      </c>
      <c r="B115" s="201" t="str">
        <f t="shared" si="6"/>
        <v>Cadena suspensión OPGW ccto 220 kV TX LA510</v>
      </c>
      <c r="C115" s="244" t="str">
        <f t="shared" si="7"/>
        <v>ud</v>
      </c>
      <c r="D115" s="245">
        <f t="shared" si="8"/>
        <v>0</v>
      </c>
      <c r="E115" s="245">
        <f>+'PRESUPUESTO P'!E121</f>
        <v>120</v>
      </c>
      <c r="F115" s="245">
        <f t="shared" si="9"/>
        <v>0</v>
      </c>
    </row>
    <row r="116" spans="1:6" ht="25.5" x14ac:dyDescent="0.25">
      <c r="A116" s="200" t="s">
        <v>212</v>
      </c>
      <c r="B116" s="201" t="str">
        <f t="shared" si="6"/>
        <v>Cadena amarre OPGW ccto 30 kV DX LA280</v>
      </c>
      <c r="C116" s="244" t="str">
        <f t="shared" si="7"/>
        <v>ud</v>
      </c>
      <c r="D116" s="245">
        <f t="shared" si="8"/>
        <v>0</v>
      </c>
      <c r="E116" s="245">
        <f>+'PRESUPUESTO P'!E122</f>
        <v>156</v>
      </c>
      <c r="F116" s="245">
        <f t="shared" si="9"/>
        <v>0</v>
      </c>
    </row>
    <row r="117" spans="1:6" ht="25.5" x14ac:dyDescent="0.25">
      <c r="A117" s="200" t="s">
        <v>213</v>
      </c>
      <c r="B117" s="201" t="str">
        <f t="shared" si="6"/>
        <v>Cadena amarre OPGW ccto 220 kV DX LA280</v>
      </c>
      <c r="C117" s="244" t="str">
        <f t="shared" si="7"/>
        <v>ud</v>
      </c>
      <c r="D117" s="245">
        <f t="shared" si="8"/>
        <v>0</v>
      </c>
      <c r="E117" s="245">
        <f>+'PRESUPUESTO P'!E123</f>
        <v>156</v>
      </c>
      <c r="F117" s="245">
        <f t="shared" si="9"/>
        <v>0</v>
      </c>
    </row>
    <row r="118" spans="1:6" ht="25.5" x14ac:dyDescent="0.25">
      <c r="A118" s="200" t="s">
        <v>214</v>
      </c>
      <c r="B118" s="201" t="str">
        <f t="shared" si="6"/>
        <v>Cadena amarre OPGW ccto 220 kV TX LA510</v>
      </c>
      <c r="C118" s="244" t="str">
        <f t="shared" si="7"/>
        <v>ud</v>
      </c>
      <c r="D118" s="245">
        <f t="shared" si="8"/>
        <v>0</v>
      </c>
      <c r="E118" s="245">
        <f>+'PRESUPUESTO P'!E124</f>
        <v>156</v>
      </c>
      <c r="F118" s="245">
        <f t="shared" si="9"/>
        <v>0</v>
      </c>
    </row>
    <row r="119" spans="1:6" x14ac:dyDescent="0.25">
      <c r="A119" s="200" t="s">
        <v>215</v>
      </c>
      <c r="B119" s="201" t="str">
        <f t="shared" si="6"/>
        <v>Placa Riesgo Eléctrico y señalización</v>
      </c>
      <c r="C119" s="244" t="str">
        <f t="shared" si="7"/>
        <v>ud</v>
      </c>
      <c r="D119" s="245">
        <f t="shared" si="8"/>
        <v>0</v>
      </c>
      <c r="E119" s="245">
        <f>+'PRESUPUESTO P'!E125</f>
        <v>20</v>
      </c>
      <c r="F119" s="245">
        <f t="shared" si="9"/>
        <v>0</v>
      </c>
    </row>
    <row r="120" spans="1:6" ht="25.5" x14ac:dyDescent="0.25">
      <c r="A120" s="200" t="s">
        <v>216</v>
      </c>
      <c r="B120" s="201" t="str">
        <f t="shared" si="6"/>
        <v>Amortiguador separador conductor tipo LA280 cctos 30 kV</v>
      </c>
      <c r="C120" s="244" t="str">
        <f t="shared" si="6"/>
        <v>ud</v>
      </c>
      <c r="D120" s="245">
        <f t="shared" si="8"/>
        <v>0</v>
      </c>
      <c r="E120" s="245">
        <f>+'PRESUPUESTO P'!E126</f>
        <v>16.799999999999997</v>
      </c>
      <c r="F120" s="245">
        <f t="shared" si="9"/>
        <v>0</v>
      </c>
    </row>
    <row r="121" spans="1:6" ht="25.5" x14ac:dyDescent="0.25">
      <c r="A121" s="200" t="s">
        <v>220</v>
      </c>
      <c r="B121" s="201" t="str">
        <f>+B83</f>
        <v>Amortiguador separador conducto tipo LA280 cctos 220 kV</v>
      </c>
      <c r="C121" s="244" t="str">
        <f t="shared" ref="C121" si="10">+C83</f>
        <v>ud</v>
      </c>
      <c r="D121" s="245">
        <f t="shared" si="8"/>
        <v>0</v>
      </c>
      <c r="E121" s="245">
        <f>+'PRESUPUESTO P'!E127</f>
        <v>16.799999999999997</v>
      </c>
      <c r="F121" s="245">
        <f t="shared" si="9"/>
        <v>0</v>
      </c>
    </row>
    <row r="122" spans="1:6" ht="25.5" x14ac:dyDescent="0.25">
      <c r="A122" s="200" t="s">
        <v>551</v>
      </c>
      <c r="B122" s="201" t="str">
        <f t="shared" ref="B122:C128" si="11">+B84</f>
        <v>Amortiguador separador conductor tipo LA510 cctos 220 kV</v>
      </c>
      <c r="C122" s="244" t="str">
        <f t="shared" ref="C122:C124" si="12">+C86</f>
        <v>ud</v>
      </c>
      <c r="D122" s="245">
        <f t="shared" si="8"/>
        <v>0</v>
      </c>
      <c r="E122" s="245">
        <f>+'PRESUPUESTO P'!E128</f>
        <v>35.28</v>
      </c>
      <c r="F122" s="245">
        <f t="shared" si="9"/>
        <v>0</v>
      </c>
    </row>
    <row r="123" spans="1:6" x14ac:dyDescent="0.25">
      <c r="A123" s="200" t="s">
        <v>552</v>
      </c>
      <c r="B123" s="201" t="str">
        <f>+B85</f>
        <v>Amortiguador OPGW ccto 30 kV</v>
      </c>
      <c r="C123" s="244" t="str">
        <f t="shared" si="12"/>
        <v>ud</v>
      </c>
      <c r="D123" s="245">
        <f t="shared" si="8"/>
        <v>0</v>
      </c>
      <c r="E123" s="245">
        <f>+'PRESUPUESTO P'!E129</f>
        <v>16.799999999999997</v>
      </c>
      <c r="F123" s="245">
        <f t="shared" si="9"/>
        <v>0</v>
      </c>
    </row>
    <row r="124" spans="1:6" x14ac:dyDescent="0.25">
      <c r="A124" s="200" t="s">
        <v>553</v>
      </c>
      <c r="B124" s="201" t="str">
        <f t="shared" si="11"/>
        <v>Amortiguador OPGW ccto 220 kV</v>
      </c>
      <c r="C124" s="244" t="str">
        <f t="shared" si="12"/>
        <v>ud</v>
      </c>
      <c r="D124" s="245">
        <f t="shared" si="8"/>
        <v>0</v>
      </c>
      <c r="E124" s="245">
        <f>+'PRESUPUESTO P'!E130</f>
        <v>16.799999999999997</v>
      </c>
      <c r="F124" s="245">
        <f t="shared" si="9"/>
        <v>0</v>
      </c>
    </row>
    <row r="125" spans="1:6" x14ac:dyDescent="0.25">
      <c r="A125" s="200" t="s">
        <v>554</v>
      </c>
      <c r="B125" s="201" t="str">
        <f t="shared" si="11"/>
        <v>Salvapajaros OPGW ccto 30 kV</v>
      </c>
      <c r="C125" s="244" t="str">
        <f t="shared" si="11"/>
        <v>ud</v>
      </c>
      <c r="D125" s="245">
        <f t="shared" si="8"/>
        <v>0</v>
      </c>
      <c r="E125" s="245">
        <f>+'PRESUPUESTO P'!E131</f>
        <v>15.399999999999999</v>
      </c>
      <c r="F125" s="245">
        <f t="shared" si="9"/>
        <v>0</v>
      </c>
    </row>
    <row r="126" spans="1:6" x14ac:dyDescent="0.25">
      <c r="A126" s="200" t="s">
        <v>557</v>
      </c>
      <c r="B126" s="201" t="str">
        <f t="shared" si="11"/>
        <v>Salvapajaros OPGW ccto 220 kV</v>
      </c>
      <c r="C126" s="244" t="str">
        <f t="shared" si="11"/>
        <v>ud</v>
      </c>
      <c r="D126" s="245">
        <f t="shared" si="8"/>
        <v>0</v>
      </c>
      <c r="E126" s="245">
        <f>+'PRESUPUESTO P'!E132</f>
        <v>15.399999999999999</v>
      </c>
      <c r="F126" s="245">
        <f t="shared" si="9"/>
        <v>0</v>
      </c>
    </row>
    <row r="127" spans="1:6" x14ac:dyDescent="0.25">
      <c r="A127" s="200" t="s">
        <v>558</v>
      </c>
      <c r="B127" s="201" t="str">
        <f>+B89</f>
        <v>PAT apoyo</v>
      </c>
      <c r="C127" s="244" t="str">
        <f t="shared" si="11"/>
        <v>ud</v>
      </c>
      <c r="D127" s="245">
        <f t="shared" si="8"/>
        <v>0</v>
      </c>
      <c r="E127" s="245">
        <f>+'PRESUPUESTO P'!E133</f>
        <v>300</v>
      </c>
      <c r="F127" s="245">
        <f t="shared" si="9"/>
        <v>0</v>
      </c>
    </row>
    <row r="128" spans="1:6" x14ac:dyDescent="0.25">
      <c r="A128" s="200" t="s">
        <v>561</v>
      </c>
      <c r="B128" s="201" t="str">
        <f>+B90</f>
        <v>Conexión FO</v>
      </c>
      <c r="C128" s="244" t="str">
        <f t="shared" si="11"/>
        <v>ud</v>
      </c>
      <c r="D128" s="245">
        <f t="shared" si="8"/>
        <v>0</v>
      </c>
      <c r="E128" s="245">
        <f>+'PRESUPUESTO P'!E134</f>
        <v>2000</v>
      </c>
      <c r="F128" s="245">
        <f t="shared" si="9"/>
        <v>0</v>
      </c>
    </row>
    <row r="129" spans="1:7" x14ac:dyDescent="0.25">
      <c r="A129" s="294" t="s">
        <v>79</v>
      </c>
      <c r="B129" s="294"/>
      <c r="C129" s="294"/>
      <c r="D129" s="294"/>
      <c r="E129" s="294"/>
      <c r="F129" s="248">
        <f>SUM(F95:F128)</f>
        <v>0</v>
      </c>
    </row>
    <row r="130" spans="1:7" x14ac:dyDescent="0.25">
      <c r="A130" s="299"/>
      <c r="B130" s="299"/>
      <c r="C130" s="299"/>
      <c r="D130" s="299"/>
      <c r="E130" s="299"/>
      <c r="F130" s="299"/>
    </row>
    <row r="131" spans="1:7" x14ac:dyDescent="0.25">
      <c r="A131" s="300" t="s">
        <v>227</v>
      </c>
      <c r="B131" s="300"/>
      <c r="C131" s="300"/>
      <c r="D131" s="300"/>
      <c r="E131" s="300"/>
      <c r="F131" s="300"/>
    </row>
    <row r="132" spans="1:7" x14ac:dyDescent="0.25">
      <c r="A132" s="242" t="s">
        <v>124</v>
      </c>
      <c r="B132" s="242" t="s">
        <v>0</v>
      </c>
      <c r="C132" s="36" t="s">
        <v>1</v>
      </c>
      <c r="D132" s="36" t="s">
        <v>2</v>
      </c>
      <c r="E132" s="36" t="s">
        <v>74</v>
      </c>
      <c r="F132" s="36" t="s">
        <v>3</v>
      </c>
    </row>
    <row r="133" spans="1:7" ht="38.25" x14ac:dyDescent="0.25">
      <c r="A133" s="200" t="s">
        <v>223</v>
      </c>
      <c r="B133" s="201" t="s">
        <v>563</v>
      </c>
      <c r="C133" s="244" t="s">
        <v>7</v>
      </c>
      <c r="D133" s="245">
        <f>+'PRESUPUESTO P'!I139</f>
        <v>0</v>
      </c>
      <c r="E133" s="245">
        <f>+'PRESUPUESTO P'!E139</f>
        <v>99</v>
      </c>
      <c r="F133" s="245">
        <f>D133*E133</f>
        <v>0</v>
      </c>
    </row>
    <row r="134" spans="1:7" ht="102" x14ac:dyDescent="0.25">
      <c r="A134" s="200" t="s">
        <v>224</v>
      </c>
      <c r="B134" s="201" t="s">
        <v>222</v>
      </c>
      <c r="C134" s="244" t="s">
        <v>7</v>
      </c>
      <c r="D134" s="245">
        <f>+'PRESUPUESTO P'!I140</f>
        <v>0</v>
      </c>
      <c r="E134" s="245">
        <f>+'PRESUPUESTO P'!E140</f>
        <v>102</v>
      </c>
      <c r="F134" s="245">
        <f t="shared" ref="F134:F135" si="13">D134*E134</f>
        <v>0</v>
      </c>
    </row>
    <row r="135" spans="1:7" ht="51" x14ac:dyDescent="0.25">
      <c r="A135" s="200" t="s">
        <v>225</v>
      </c>
      <c r="B135" s="201" t="s">
        <v>226</v>
      </c>
      <c r="C135" s="244" t="s">
        <v>1</v>
      </c>
      <c r="D135" s="245">
        <f>+'PRESUPUESTO P'!I141</f>
        <v>0</v>
      </c>
      <c r="E135" s="245">
        <f>+'PRESUPUESTO P'!E141</f>
        <v>200</v>
      </c>
      <c r="F135" s="245">
        <f t="shared" si="13"/>
        <v>0</v>
      </c>
    </row>
    <row r="136" spans="1:7" x14ac:dyDescent="0.25">
      <c r="A136" s="294" t="s">
        <v>80</v>
      </c>
      <c r="B136" s="294"/>
      <c r="C136" s="294"/>
      <c r="D136" s="294"/>
      <c r="E136" s="294"/>
      <c r="F136" s="248">
        <f>SUM(F133:F135)</f>
        <v>0</v>
      </c>
    </row>
    <row r="137" spans="1:7" x14ac:dyDescent="0.25">
      <c r="A137" s="294" t="s">
        <v>235</v>
      </c>
      <c r="B137" s="294"/>
      <c r="C137" s="294"/>
      <c r="D137" s="294"/>
      <c r="E137" s="294"/>
      <c r="F137" s="248">
        <f>+F136+F129+F91</f>
        <v>0</v>
      </c>
    </row>
    <row r="138" spans="1:7" x14ac:dyDescent="0.25">
      <c r="A138" s="299"/>
      <c r="B138" s="299"/>
      <c r="C138" s="299"/>
      <c r="D138" s="299"/>
      <c r="E138" s="299"/>
      <c r="F138" s="299"/>
    </row>
    <row r="139" spans="1:7" x14ac:dyDescent="0.25">
      <c r="A139" s="298" t="s">
        <v>81</v>
      </c>
      <c r="B139" s="298"/>
      <c r="C139" s="298"/>
      <c r="D139" s="298"/>
      <c r="E139" s="298"/>
      <c r="F139" s="298"/>
    </row>
    <row r="140" spans="1:7" x14ac:dyDescent="0.25">
      <c r="A140" s="242" t="s">
        <v>124</v>
      </c>
      <c r="B140" s="242" t="s">
        <v>0</v>
      </c>
      <c r="C140" s="36" t="s">
        <v>1</v>
      </c>
      <c r="D140" s="36" t="s">
        <v>2</v>
      </c>
      <c r="E140" s="36" t="s">
        <v>74</v>
      </c>
      <c r="F140" s="36" t="s">
        <v>3</v>
      </c>
      <c r="G140" s="250"/>
    </row>
    <row r="141" spans="1:7" x14ac:dyDescent="0.25">
      <c r="A141" s="200" t="s">
        <v>236</v>
      </c>
      <c r="B141" s="200" t="s">
        <v>63</v>
      </c>
      <c r="C141" s="251" t="s">
        <v>6</v>
      </c>
      <c r="D141" s="245">
        <v>1</v>
      </c>
      <c r="E141" s="245" t="e">
        <f>+'PRESUPUESTO P'!I147</f>
        <v>#REF!</v>
      </c>
      <c r="F141" s="245" t="e">
        <f>D141*E141</f>
        <v>#REF!</v>
      </c>
      <c r="G141" s="250"/>
    </row>
    <row r="142" spans="1:7" x14ac:dyDescent="0.25">
      <c r="A142" s="301" t="s">
        <v>543</v>
      </c>
      <c r="B142" s="302"/>
      <c r="C142" s="302"/>
      <c r="D142" s="302"/>
      <c r="E142" s="303"/>
      <c r="F142" s="248" t="e">
        <f>+F141</f>
        <v>#REF!</v>
      </c>
    </row>
    <row r="143" spans="1:7" x14ac:dyDescent="0.25">
      <c r="A143" s="295"/>
      <c r="B143" s="296"/>
      <c r="C143" s="296"/>
      <c r="D143" s="296"/>
      <c r="E143" s="296"/>
      <c r="F143" s="297"/>
    </row>
    <row r="144" spans="1:7" x14ac:dyDescent="0.25">
      <c r="A144" s="298" t="s">
        <v>82</v>
      </c>
      <c r="B144" s="298"/>
      <c r="C144" s="298"/>
      <c r="D144" s="298"/>
      <c r="E144" s="298"/>
      <c r="F144" s="298"/>
    </row>
    <row r="145" spans="1:7" x14ac:dyDescent="0.25">
      <c r="A145" s="242" t="s">
        <v>124</v>
      </c>
      <c r="B145" s="242" t="s">
        <v>0</v>
      </c>
      <c r="C145" s="36" t="s">
        <v>1</v>
      </c>
      <c r="D145" s="36" t="s">
        <v>2</v>
      </c>
      <c r="E145" s="36" t="s">
        <v>74</v>
      </c>
      <c r="F145" s="36" t="s">
        <v>3</v>
      </c>
      <c r="G145" s="250"/>
    </row>
    <row r="146" spans="1:7" x14ac:dyDescent="0.25">
      <c r="A146" s="200" t="s">
        <v>237</v>
      </c>
      <c r="B146" s="200" t="s">
        <v>83</v>
      </c>
      <c r="C146" s="251" t="s">
        <v>6</v>
      </c>
      <c r="D146" s="245">
        <v>1</v>
      </c>
      <c r="E146" s="245" t="e">
        <f>+'PRESUPUESTO P'!I152</f>
        <v>#REF!</v>
      </c>
      <c r="F146" s="245" t="e">
        <f>D146*E146</f>
        <v>#REF!</v>
      </c>
      <c r="G146" s="250"/>
    </row>
    <row r="147" spans="1:7" x14ac:dyDescent="0.25">
      <c r="A147" s="294" t="s">
        <v>544</v>
      </c>
      <c r="B147" s="294"/>
      <c r="C147" s="294"/>
      <c r="D147" s="294"/>
      <c r="E147" s="294"/>
      <c r="F147" s="248" t="e">
        <f>+F146</f>
        <v>#REF!</v>
      </c>
    </row>
    <row r="148" spans="1:7" x14ac:dyDescent="0.25">
      <c r="A148" s="294" t="s">
        <v>238</v>
      </c>
      <c r="B148" s="294"/>
      <c r="C148" s="294"/>
      <c r="D148" s="294"/>
      <c r="E148" s="294"/>
      <c r="F148" s="248" t="e">
        <f>+F147+F142+F137+F52</f>
        <v>#REF!</v>
      </c>
    </row>
    <row r="150" spans="1:7" x14ac:dyDescent="0.25">
      <c r="B150" s="254" t="str">
        <f>+A2</f>
        <v>CAPÍTULO 1. LÍNEA SUBTERRÁNEA</v>
      </c>
      <c r="C150" s="196" t="s">
        <v>3</v>
      </c>
    </row>
    <row r="151" spans="1:7" ht="30" x14ac:dyDescent="0.25">
      <c r="B151" s="255" t="str">
        <f>+A3</f>
        <v>CAPÍTULO 1.1 MATERIALES  LÍNEA SUBTERRÁNEA</v>
      </c>
      <c r="C151" s="207">
        <f>+F21</f>
        <v>0</v>
      </c>
    </row>
    <row r="152" spans="1:7" ht="30" x14ac:dyDescent="0.25">
      <c r="B152" s="255" t="str">
        <f>+A23</f>
        <v>CAPÍTULO 1.2. MONTAJE  LÍNEA SUBTERRÁNEA</v>
      </c>
      <c r="C152" s="207">
        <f>+F41</f>
        <v>0</v>
      </c>
    </row>
    <row r="153" spans="1:7" ht="30" x14ac:dyDescent="0.25">
      <c r="B153" s="255" t="str">
        <f>+A43</f>
        <v>CAPÍTULO 1.3. OBRA CIVIL LÍNEA SUBTERRÁNEA</v>
      </c>
      <c r="C153" s="207">
        <f>+F51</f>
        <v>0</v>
      </c>
    </row>
    <row r="154" spans="1:7" ht="30" x14ac:dyDescent="0.25">
      <c r="B154" s="256" t="str">
        <f>+A52</f>
        <v>TOTAL CAPÍTULO 1.- LINEA SUBTERRÁNEA</v>
      </c>
      <c r="C154" s="257">
        <f>+C151+C152+C153</f>
        <v>0</v>
      </c>
      <c r="D154" s="246"/>
    </row>
    <row r="155" spans="1:7" x14ac:dyDescent="0.25">
      <c r="B155" s="254" t="str">
        <f>+A54</f>
        <v>CAPÍTULO 2. LÍNEA AÉREA</v>
      </c>
      <c r="C155" s="196" t="s">
        <v>3</v>
      </c>
    </row>
    <row r="156" spans="1:7" ht="30" x14ac:dyDescent="0.25">
      <c r="B156" s="255" t="str">
        <f>+A55</f>
        <v>CAPÍTULO 2.1 MATERIALES  LÍNEA AÉREA</v>
      </c>
      <c r="C156" s="207">
        <f>+F91</f>
        <v>0</v>
      </c>
    </row>
    <row r="157" spans="1:7" ht="30" x14ac:dyDescent="0.25">
      <c r="B157" s="255" t="str">
        <f>+A93</f>
        <v>CAPÍTULO 2.2 MONTAJE  LÍNEA AÉREA</v>
      </c>
      <c r="C157" s="207">
        <f>+F129</f>
        <v>0</v>
      </c>
    </row>
    <row r="158" spans="1:7" ht="30" x14ac:dyDescent="0.25">
      <c r="B158" s="255" t="str">
        <f>+A131</f>
        <v>CAPÍTULO 2.3 OBRA CIVIL LÍNEA AÉREA</v>
      </c>
      <c r="C158" s="207">
        <f>+F136</f>
        <v>0</v>
      </c>
    </row>
    <row r="159" spans="1:7" x14ac:dyDescent="0.25">
      <c r="B159" s="259" t="str">
        <f>+A137</f>
        <v>TOTAL CAPÍTULO 2.- LÍNEA AÉREA</v>
      </c>
      <c r="C159" s="257">
        <f>+C156+C157+C158</f>
        <v>0</v>
      </c>
      <c r="D159" s="246"/>
    </row>
    <row r="160" spans="1:7" ht="30" x14ac:dyDescent="0.25">
      <c r="B160" s="255" t="str">
        <f>+A139</f>
        <v>CAPÍTULO 3. ESTUDIO DE GESTIÓN DE RESIDUOS</v>
      </c>
      <c r="C160" s="207" t="e">
        <f>+F142</f>
        <v>#REF!</v>
      </c>
    </row>
    <row r="161" spans="2:4" ht="30" x14ac:dyDescent="0.25">
      <c r="B161" s="259" t="str">
        <f>+A142</f>
        <v>TOTAL CAPÍTULO 3.-ESTUDIO DE GESTIÓN DE RESIDUOS</v>
      </c>
      <c r="C161" s="208" t="e">
        <f>+C160</f>
        <v>#REF!</v>
      </c>
    </row>
    <row r="162" spans="2:4" ht="30" x14ac:dyDescent="0.25">
      <c r="B162" s="255" t="str">
        <f>+A144</f>
        <v>CAPÍTULO 4. ESTUDIO DE SEGURIDAD Y SALUD</v>
      </c>
      <c r="C162" s="207" t="e">
        <f>+F147</f>
        <v>#REF!</v>
      </c>
    </row>
    <row r="163" spans="2:4" ht="30" x14ac:dyDescent="0.25">
      <c r="B163" s="259" t="str">
        <f>+A147</f>
        <v>TOTAL CAPÍTULO 4.-ESTUDIO DE SEGURIDAD Y SALUD</v>
      </c>
      <c r="C163" s="208" t="e">
        <f>+C162</f>
        <v>#REF!</v>
      </c>
    </row>
    <row r="164" spans="2:4" ht="30" x14ac:dyDescent="0.25">
      <c r="B164" s="267" t="s">
        <v>71</v>
      </c>
      <c r="C164" s="268" t="e">
        <f>+C154+C159+C161+C163</f>
        <v>#REF!</v>
      </c>
      <c r="D164" s="246"/>
    </row>
    <row r="165" spans="2:4" x14ac:dyDescent="0.25">
      <c r="B165" s="262" t="s">
        <v>9</v>
      </c>
      <c r="C165" s="207" t="e">
        <f>+C164*0.21</f>
        <v>#REF!</v>
      </c>
    </row>
    <row r="166" spans="2:4" ht="30" x14ac:dyDescent="0.25">
      <c r="B166" s="261" t="s">
        <v>72</v>
      </c>
      <c r="C166" s="208" t="e">
        <f>+C164+C165</f>
        <v>#REF!</v>
      </c>
    </row>
  </sheetData>
  <mergeCells count="28">
    <mergeCell ref="A143:F143"/>
    <mergeCell ref="A144:F144"/>
    <mergeCell ref="A147:E147"/>
    <mergeCell ref="A148:E148"/>
    <mergeCell ref="A131:F131"/>
    <mergeCell ref="A136:E136"/>
    <mergeCell ref="A137:E137"/>
    <mergeCell ref="A138:F138"/>
    <mergeCell ref="A139:F139"/>
    <mergeCell ref="A142:E142"/>
    <mergeCell ref="A130:F130"/>
    <mergeCell ref="A42:F42"/>
    <mergeCell ref="A43:F43"/>
    <mergeCell ref="A51:E51"/>
    <mergeCell ref="A52:E52"/>
    <mergeCell ref="A53:F53"/>
    <mergeCell ref="A54:F54"/>
    <mergeCell ref="A55:F55"/>
    <mergeCell ref="A91:E91"/>
    <mergeCell ref="A92:F92"/>
    <mergeCell ref="A93:F93"/>
    <mergeCell ref="A129:E129"/>
    <mergeCell ref="A41:E41"/>
    <mergeCell ref="A2:F2"/>
    <mergeCell ref="A3:F3"/>
    <mergeCell ref="A21:E21"/>
    <mergeCell ref="A22:F22"/>
    <mergeCell ref="A23:F23"/>
  </mergeCells>
  <conditionalFormatting sqref="C154 C159:C166">
    <cfRule type="cellIs" dxfId="22" priority="15" operator="equal">
      <formula>0</formula>
    </cfRule>
  </conditionalFormatting>
  <conditionalFormatting sqref="D154 D159">
    <cfRule type="cellIs" dxfId="21" priority="7" operator="notEqual">
      <formula>0</formula>
    </cfRule>
  </conditionalFormatting>
  <conditionalFormatting sqref="D164">
    <cfRule type="cellIs" dxfId="20" priority="6" operator="notEqual">
      <formula>0</formula>
    </cfRule>
  </conditionalFormatting>
  <conditionalFormatting sqref="D25:E40">
    <cfRule type="cellIs" dxfId="19" priority="5" operator="equal">
      <formula>0</formula>
    </cfRule>
  </conditionalFormatting>
  <conditionalFormatting sqref="D45:E50">
    <cfRule type="cellIs" dxfId="18" priority="4" operator="equal">
      <formula>0</formula>
    </cfRule>
  </conditionalFormatting>
  <conditionalFormatting sqref="D57:E90">
    <cfRule type="cellIs" dxfId="17" priority="3" operator="equal">
      <formula>0</formula>
    </cfRule>
  </conditionalFormatting>
  <conditionalFormatting sqref="D95:E128">
    <cfRule type="cellIs" dxfId="16" priority="2" operator="equal">
      <formula>0</formula>
    </cfRule>
  </conditionalFormatting>
  <conditionalFormatting sqref="D133:E135">
    <cfRule type="cellIs" dxfId="15" priority="1" operator="equal">
      <formula>0</formula>
    </cfRule>
  </conditionalFormatting>
  <conditionalFormatting sqref="D5:F20 F21">
    <cfRule type="cellIs" dxfId="14" priority="12" operator="equal">
      <formula>0</formula>
    </cfRule>
  </conditionalFormatting>
  <conditionalFormatting sqref="F25:F41 F45:F52">
    <cfRule type="cellIs" dxfId="13" priority="13" operator="equal">
      <formula>0</formula>
    </cfRule>
  </conditionalFormatting>
  <conditionalFormatting sqref="F57:F91 F95:F129 F133:F137 D141:F141 F142 D146:E146 F146:F148">
    <cfRule type="cellIs" dxfId="12" priority="14" operator="equal">
      <formula>0</formula>
    </cfRule>
  </conditionalFormatting>
  <dataValidations count="1">
    <dataValidation allowBlank="1" showErrorMessage="1" sqref="B87:B90" xr:uid="{198769C0-58DF-4049-AC90-0B9E9E12237E}"/>
  </dataValidation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E1982-22AE-4F21-AC58-E107F739640A}">
  <sheetPr>
    <tabColor rgb="FF92D050"/>
  </sheetPr>
  <dimension ref="A2:K166"/>
  <sheetViews>
    <sheetView showGridLines="0" zoomScale="85" zoomScaleNormal="85" workbookViewId="0">
      <selection activeCell="I31" sqref="I31"/>
    </sheetView>
  </sheetViews>
  <sheetFormatPr baseColWidth="10" defaultColWidth="24.140625" defaultRowHeight="15" x14ac:dyDescent="0.25"/>
  <cols>
    <col min="1" max="1" width="6.5703125" style="237" bestFit="1" customWidth="1"/>
    <col min="2" max="2" width="32.28515625" style="238" customWidth="1"/>
    <col min="3" max="3" width="13.140625" style="237" bestFit="1" customWidth="1"/>
    <col min="4" max="4" width="10.28515625" style="237" bestFit="1" customWidth="1"/>
    <col min="5" max="5" width="11.28515625" style="239" bestFit="1" customWidth="1"/>
    <col min="6" max="6" width="11.7109375" style="239" bestFit="1" customWidth="1"/>
    <col min="7" max="7" width="29.7109375" style="241" customWidth="1"/>
    <col min="8" max="8" width="9.7109375" style="241" bestFit="1" customWidth="1"/>
    <col min="9" max="11" width="24.140625" style="241"/>
    <col min="12" max="16384" width="24.140625" style="237"/>
  </cols>
  <sheetData>
    <row r="2" spans="1:7" x14ac:dyDescent="0.25">
      <c r="A2" s="300" t="s">
        <v>233</v>
      </c>
      <c r="B2" s="300"/>
      <c r="C2" s="300"/>
      <c r="D2" s="300"/>
      <c r="E2" s="300"/>
      <c r="F2" s="300"/>
    </row>
    <row r="3" spans="1:7" x14ac:dyDescent="0.25">
      <c r="A3" s="300" t="s">
        <v>232</v>
      </c>
      <c r="B3" s="300"/>
      <c r="C3" s="300"/>
      <c r="D3" s="300"/>
      <c r="E3" s="300"/>
      <c r="F3" s="300"/>
    </row>
    <row r="4" spans="1:7" x14ac:dyDescent="0.25">
      <c r="A4" s="242" t="s">
        <v>124</v>
      </c>
      <c r="B4" s="242" t="s">
        <v>0</v>
      </c>
      <c r="C4" s="36" t="s">
        <v>1</v>
      </c>
      <c r="D4" s="36" t="s">
        <v>2</v>
      </c>
      <c r="E4" s="36" t="s">
        <v>74</v>
      </c>
      <c r="F4" s="36" t="s">
        <v>3</v>
      </c>
      <c r="G4" s="243"/>
    </row>
    <row r="5" spans="1:7" x14ac:dyDescent="0.25">
      <c r="A5" s="200" t="s">
        <v>125</v>
      </c>
      <c r="B5" s="200" t="s">
        <v>119</v>
      </c>
      <c r="C5" s="244" t="s">
        <v>5</v>
      </c>
      <c r="D5" s="245">
        <f>+'PRESUPUESTO P'!J5</f>
        <v>0</v>
      </c>
      <c r="E5" s="245">
        <f>+'PRESUPUESTO P'!E5</f>
        <v>4</v>
      </c>
      <c r="F5" s="245">
        <f t="shared" ref="F5:F20" si="0">D5*E5</f>
        <v>0</v>
      </c>
    </row>
    <row r="6" spans="1:7" x14ac:dyDescent="0.25">
      <c r="A6" s="200" t="s">
        <v>126</v>
      </c>
      <c r="B6" s="200" t="s">
        <v>120</v>
      </c>
      <c r="C6" s="244" t="s">
        <v>5</v>
      </c>
      <c r="D6" s="245">
        <f>+'PRESUPUESTO P'!J7</f>
        <v>0</v>
      </c>
      <c r="E6" s="245">
        <f>+'PRESUPUESTO P'!E7</f>
        <v>120</v>
      </c>
      <c r="F6" s="245">
        <f t="shared" si="0"/>
        <v>0</v>
      </c>
    </row>
    <row r="7" spans="1:7" x14ac:dyDescent="0.25">
      <c r="A7" s="200" t="s">
        <v>127</v>
      </c>
      <c r="B7" s="200" t="s">
        <v>121</v>
      </c>
      <c r="C7" s="244" t="s">
        <v>6</v>
      </c>
      <c r="D7" s="245">
        <f>+'PRESUPUESTO P'!J9</f>
        <v>0</v>
      </c>
      <c r="E7" s="245">
        <f>+'PRESUPUESTO P'!E9</f>
        <v>160</v>
      </c>
      <c r="F7" s="245">
        <f t="shared" si="0"/>
        <v>0</v>
      </c>
    </row>
    <row r="8" spans="1:7" x14ac:dyDescent="0.25">
      <c r="A8" s="200" t="s">
        <v>128</v>
      </c>
      <c r="B8" s="200" t="s">
        <v>122</v>
      </c>
      <c r="C8" s="244" t="s">
        <v>6</v>
      </c>
      <c r="D8" s="245">
        <f>+'PRESUPUESTO P'!J10</f>
        <v>0</v>
      </c>
      <c r="E8" s="245">
        <f>+'PRESUPUESTO P'!E10</f>
        <v>7000</v>
      </c>
      <c r="F8" s="245">
        <f t="shared" si="0"/>
        <v>0</v>
      </c>
    </row>
    <row r="9" spans="1:7" x14ac:dyDescent="0.25">
      <c r="A9" s="200" t="s">
        <v>129</v>
      </c>
      <c r="B9" s="200" t="s">
        <v>123</v>
      </c>
      <c r="C9" s="244" t="s">
        <v>6</v>
      </c>
      <c r="D9" s="245">
        <f>+'PRESUPUESTO P'!J11</f>
        <v>0</v>
      </c>
      <c r="E9" s="245">
        <f>+'PRESUPUESTO P'!E11</f>
        <v>3300</v>
      </c>
      <c r="F9" s="245">
        <f t="shared" si="0"/>
        <v>0</v>
      </c>
    </row>
    <row r="10" spans="1:7" x14ac:dyDescent="0.25">
      <c r="A10" s="200" t="s">
        <v>130</v>
      </c>
      <c r="B10" s="200" t="s">
        <v>111</v>
      </c>
      <c r="C10" s="244" t="s">
        <v>6</v>
      </c>
      <c r="D10" s="245">
        <f>+'PRESUPUESTO P'!J12</f>
        <v>0</v>
      </c>
      <c r="E10" s="245">
        <f>+'PRESUPUESTO P'!E12</f>
        <v>300</v>
      </c>
      <c r="F10" s="245">
        <f t="shared" si="0"/>
        <v>0</v>
      </c>
    </row>
    <row r="11" spans="1:7" x14ac:dyDescent="0.25">
      <c r="A11" s="200" t="s">
        <v>131</v>
      </c>
      <c r="B11" s="200" t="s">
        <v>112</v>
      </c>
      <c r="C11" s="244" t="s">
        <v>6</v>
      </c>
      <c r="D11" s="245">
        <f>+'PRESUPUESTO P'!J13</f>
        <v>0</v>
      </c>
      <c r="E11" s="245">
        <f>+'PRESUPUESTO P'!E13</f>
        <v>950</v>
      </c>
      <c r="F11" s="245">
        <f t="shared" si="0"/>
        <v>0</v>
      </c>
    </row>
    <row r="12" spans="1:7" x14ac:dyDescent="0.25">
      <c r="A12" s="200" t="s">
        <v>132</v>
      </c>
      <c r="B12" s="200" t="s">
        <v>113</v>
      </c>
      <c r="C12" s="244" t="s">
        <v>6</v>
      </c>
      <c r="D12" s="245">
        <f>+'PRESUPUESTO P'!J14</f>
        <v>0</v>
      </c>
      <c r="E12" s="245">
        <f>+'PRESUPUESTO P'!E14</f>
        <v>180</v>
      </c>
      <c r="F12" s="245">
        <f t="shared" si="0"/>
        <v>0</v>
      </c>
    </row>
    <row r="13" spans="1:7" x14ac:dyDescent="0.25">
      <c r="A13" s="200" t="s">
        <v>133</v>
      </c>
      <c r="B13" s="200" t="s">
        <v>114</v>
      </c>
      <c r="C13" s="244" t="s">
        <v>6</v>
      </c>
      <c r="D13" s="245">
        <f>+'PRESUPUESTO P'!J15</f>
        <v>0</v>
      </c>
      <c r="E13" s="245">
        <f>+'PRESUPUESTO P'!E15</f>
        <v>5000</v>
      </c>
      <c r="F13" s="245">
        <f t="shared" si="0"/>
        <v>0</v>
      </c>
    </row>
    <row r="14" spans="1:7" x14ac:dyDescent="0.25">
      <c r="A14" s="200" t="s">
        <v>134</v>
      </c>
      <c r="B14" s="200" t="s">
        <v>87</v>
      </c>
      <c r="C14" s="244" t="s">
        <v>6</v>
      </c>
      <c r="D14" s="245">
        <f>+'PRESUPUESTO P'!J16</f>
        <v>0</v>
      </c>
      <c r="E14" s="245">
        <f>+'PRESUPUESTO P'!E16</f>
        <v>640</v>
      </c>
      <c r="F14" s="245">
        <f t="shared" si="0"/>
        <v>0</v>
      </c>
    </row>
    <row r="15" spans="1:7" x14ac:dyDescent="0.25">
      <c r="A15" s="200" t="s">
        <v>135</v>
      </c>
      <c r="B15" s="200" t="s">
        <v>90</v>
      </c>
      <c r="C15" s="244" t="s">
        <v>6</v>
      </c>
      <c r="D15" s="245">
        <f>+'PRESUPUESTO P'!J18</f>
        <v>0</v>
      </c>
      <c r="E15" s="245">
        <f>+'PRESUPUESTO P'!E18</f>
        <v>3200</v>
      </c>
      <c r="F15" s="245">
        <f t="shared" si="0"/>
        <v>0</v>
      </c>
    </row>
    <row r="16" spans="1:7" x14ac:dyDescent="0.25">
      <c r="A16" s="200" t="s">
        <v>136</v>
      </c>
      <c r="B16" s="200" t="s">
        <v>550</v>
      </c>
      <c r="C16" s="244" t="s">
        <v>6</v>
      </c>
      <c r="D16" s="245">
        <f>+'PRESUPUESTO P'!J19</f>
        <v>0</v>
      </c>
      <c r="E16" s="245">
        <f>+'PRESUPUESTO P'!E19</f>
        <v>1000</v>
      </c>
      <c r="F16" s="245">
        <f t="shared" si="0"/>
        <v>0</v>
      </c>
    </row>
    <row r="17" spans="1:7" x14ac:dyDescent="0.25">
      <c r="A17" s="200" t="s">
        <v>137</v>
      </c>
      <c r="B17" s="200" t="s">
        <v>108</v>
      </c>
      <c r="C17" s="244" t="s">
        <v>5</v>
      </c>
      <c r="D17" s="245">
        <f>+'PRESUPUESTO P'!J20</f>
        <v>0</v>
      </c>
      <c r="E17" s="245">
        <f>+'PRESUPUESTO P'!E20</f>
        <v>1</v>
      </c>
      <c r="F17" s="245">
        <f t="shared" si="0"/>
        <v>0</v>
      </c>
    </row>
    <row r="18" spans="1:7" x14ac:dyDescent="0.25">
      <c r="A18" s="200" t="s">
        <v>138</v>
      </c>
      <c r="B18" s="200" t="s">
        <v>109</v>
      </c>
      <c r="C18" s="244" t="s">
        <v>5</v>
      </c>
      <c r="D18" s="245">
        <f>+'PRESUPUESTO P'!J21</f>
        <v>0</v>
      </c>
      <c r="E18" s="245">
        <f>+'PRESUPUESTO P'!E21</f>
        <v>1.2</v>
      </c>
      <c r="F18" s="245">
        <f t="shared" si="0"/>
        <v>0</v>
      </c>
    </row>
    <row r="19" spans="1:7" x14ac:dyDescent="0.25">
      <c r="A19" s="200" t="s">
        <v>139</v>
      </c>
      <c r="B19" s="200" t="s">
        <v>115</v>
      </c>
      <c r="C19" s="244" t="s">
        <v>6</v>
      </c>
      <c r="D19" s="245">
        <f>+'PRESUPUESTO P'!J22</f>
        <v>0</v>
      </c>
      <c r="E19" s="245">
        <f>+'PRESUPUESTO P'!E22</f>
        <v>300</v>
      </c>
      <c r="F19" s="245">
        <f t="shared" si="0"/>
        <v>0</v>
      </c>
    </row>
    <row r="20" spans="1:7" x14ac:dyDescent="0.25">
      <c r="A20" s="200" t="s">
        <v>140</v>
      </c>
      <c r="B20" s="200" t="s">
        <v>116</v>
      </c>
      <c r="C20" s="244" t="s">
        <v>6</v>
      </c>
      <c r="D20" s="245">
        <f>+'PRESUPUESTO P'!J23</f>
        <v>0</v>
      </c>
      <c r="E20" s="245">
        <f>+'PRESUPUESTO P'!E23</f>
        <v>300</v>
      </c>
      <c r="F20" s="245">
        <f t="shared" si="0"/>
        <v>0</v>
      </c>
    </row>
    <row r="21" spans="1:7" x14ac:dyDescent="0.25">
      <c r="A21" s="294" t="s">
        <v>84</v>
      </c>
      <c r="B21" s="294"/>
      <c r="C21" s="294"/>
      <c r="D21" s="294"/>
      <c r="E21" s="294"/>
      <c r="F21" s="248">
        <f>SUM(F5:F20)</f>
        <v>0</v>
      </c>
      <c r="G21" s="246"/>
    </row>
    <row r="22" spans="1:7" x14ac:dyDescent="0.25">
      <c r="A22" s="299"/>
      <c r="B22" s="299"/>
      <c r="C22" s="299"/>
      <c r="D22" s="299"/>
      <c r="E22" s="299"/>
      <c r="F22" s="299"/>
    </row>
    <row r="23" spans="1:7" x14ac:dyDescent="0.25">
      <c r="A23" s="300" t="s">
        <v>231</v>
      </c>
      <c r="B23" s="300"/>
      <c r="C23" s="300"/>
      <c r="D23" s="300"/>
      <c r="E23" s="300"/>
      <c r="F23" s="300"/>
    </row>
    <row r="24" spans="1:7" x14ac:dyDescent="0.25">
      <c r="A24" s="242" t="s">
        <v>124</v>
      </c>
      <c r="B24" s="242" t="s">
        <v>0</v>
      </c>
      <c r="C24" s="36" t="s">
        <v>1</v>
      </c>
      <c r="D24" s="36" t="s">
        <v>2</v>
      </c>
      <c r="E24" s="36" t="s">
        <v>74</v>
      </c>
      <c r="F24" s="36" t="s">
        <v>3</v>
      </c>
    </row>
    <row r="25" spans="1:7" x14ac:dyDescent="0.25">
      <c r="A25" s="200" t="s">
        <v>141</v>
      </c>
      <c r="B25" s="200" t="str">
        <f>+B5</f>
        <v>Cable aislado 30 kV</v>
      </c>
      <c r="C25" s="200" t="str">
        <f t="shared" ref="C25:D25" si="1">+C5</f>
        <v>m</v>
      </c>
      <c r="D25" s="245">
        <f t="shared" si="1"/>
        <v>0</v>
      </c>
      <c r="E25" s="245">
        <f>+'PRESUPUESTO P'!E28</f>
        <v>1.0999999999999999</v>
      </c>
      <c r="F25" s="245">
        <f t="shared" ref="F25:F40" si="2">D25*E25</f>
        <v>0</v>
      </c>
    </row>
    <row r="26" spans="1:7" x14ac:dyDescent="0.25">
      <c r="A26" s="200" t="s">
        <v>142</v>
      </c>
      <c r="B26" s="200" t="str">
        <f t="shared" ref="B26:D40" si="3">+B6</f>
        <v>Cable aislado 220 kV</v>
      </c>
      <c r="C26" s="200" t="str">
        <f t="shared" si="3"/>
        <v>m</v>
      </c>
      <c r="D26" s="245">
        <f t="shared" si="3"/>
        <v>0</v>
      </c>
      <c r="E26" s="245">
        <f>+'PRESUPUESTO P'!E30</f>
        <v>6.5</v>
      </c>
      <c r="F26" s="245">
        <f t="shared" si="2"/>
        <v>0</v>
      </c>
    </row>
    <row r="27" spans="1:7" x14ac:dyDescent="0.25">
      <c r="A27" s="200" t="s">
        <v>143</v>
      </c>
      <c r="B27" s="200" t="str">
        <f t="shared" si="3"/>
        <v xml:space="preserve">Terminales 30 kV </v>
      </c>
      <c r="C27" s="200" t="str">
        <f t="shared" si="3"/>
        <v>ud</v>
      </c>
      <c r="D27" s="245">
        <f t="shared" si="3"/>
        <v>0</v>
      </c>
      <c r="E27" s="245">
        <f>+'PRESUPUESTO P'!E32</f>
        <v>220</v>
      </c>
      <c r="F27" s="245">
        <f t="shared" si="2"/>
        <v>0</v>
      </c>
    </row>
    <row r="28" spans="1:7" x14ac:dyDescent="0.25">
      <c r="A28" s="200" t="s">
        <v>144</v>
      </c>
      <c r="B28" s="200" t="str">
        <f t="shared" si="3"/>
        <v xml:space="preserve">Terminales 220 kV </v>
      </c>
      <c r="C28" s="200" t="str">
        <f t="shared" si="3"/>
        <v>ud</v>
      </c>
      <c r="D28" s="245">
        <f t="shared" si="3"/>
        <v>0</v>
      </c>
      <c r="E28" s="245">
        <f>+'PRESUPUESTO P'!E33</f>
        <v>2600</v>
      </c>
      <c r="F28" s="245">
        <f t="shared" si="2"/>
        <v>0</v>
      </c>
    </row>
    <row r="29" spans="1:7" x14ac:dyDescent="0.25">
      <c r="A29" s="200" t="s">
        <v>145</v>
      </c>
      <c r="B29" s="200" t="str">
        <f t="shared" si="3"/>
        <v xml:space="preserve">Autoválvulas 220 kV </v>
      </c>
      <c r="C29" s="200" t="str">
        <f t="shared" si="3"/>
        <v>ud</v>
      </c>
      <c r="D29" s="245">
        <f t="shared" si="3"/>
        <v>0</v>
      </c>
      <c r="E29" s="245">
        <f>+'PRESUPUESTO P'!E34</f>
        <v>1300</v>
      </c>
      <c r="F29" s="245">
        <f t="shared" si="2"/>
        <v>0</v>
      </c>
    </row>
    <row r="30" spans="1:7" x14ac:dyDescent="0.25">
      <c r="A30" s="200" t="s">
        <v>146</v>
      </c>
      <c r="B30" s="200" t="str">
        <f t="shared" si="3"/>
        <v>Cámaras de empalmes 30 kV</v>
      </c>
      <c r="C30" s="200" t="str">
        <f t="shared" si="3"/>
        <v>ud</v>
      </c>
      <c r="D30" s="245">
        <f t="shared" si="3"/>
        <v>0</v>
      </c>
      <c r="E30" s="245">
        <f>+'PRESUPUESTO P'!E35</f>
        <v>400</v>
      </c>
      <c r="F30" s="245">
        <f t="shared" si="2"/>
        <v>0</v>
      </c>
    </row>
    <row r="31" spans="1:7" x14ac:dyDescent="0.25">
      <c r="A31" s="200" t="s">
        <v>147</v>
      </c>
      <c r="B31" s="200" t="str">
        <f t="shared" si="3"/>
        <v>Cámaras de empalmes 220 kV</v>
      </c>
      <c r="C31" s="200" t="str">
        <f t="shared" si="3"/>
        <v>ud</v>
      </c>
      <c r="D31" s="245">
        <f t="shared" si="3"/>
        <v>0</v>
      </c>
      <c r="E31" s="245">
        <f>+'PRESUPUESTO P'!E36</f>
        <v>3100</v>
      </c>
      <c r="F31" s="245">
        <f t="shared" si="2"/>
        <v>0</v>
      </c>
    </row>
    <row r="32" spans="1:7" x14ac:dyDescent="0.25">
      <c r="A32" s="200" t="s">
        <v>148</v>
      </c>
      <c r="B32" s="200" t="str">
        <f t="shared" si="3"/>
        <v>Empalmes 30 kV</v>
      </c>
      <c r="C32" s="200" t="str">
        <f t="shared" si="3"/>
        <v>ud</v>
      </c>
      <c r="D32" s="245">
        <f t="shared" si="3"/>
        <v>0</v>
      </c>
      <c r="E32" s="245">
        <f>+'PRESUPUESTO P'!E37</f>
        <v>300</v>
      </c>
      <c r="F32" s="245">
        <f t="shared" si="2"/>
        <v>0</v>
      </c>
    </row>
    <row r="33" spans="1:7" x14ac:dyDescent="0.25">
      <c r="A33" s="200" t="s">
        <v>149</v>
      </c>
      <c r="B33" s="200" t="str">
        <f t="shared" si="3"/>
        <v>Empalmes 220 kV</v>
      </c>
      <c r="C33" s="200" t="str">
        <f t="shared" si="3"/>
        <v>ud</v>
      </c>
      <c r="D33" s="245">
        <f t="shared" si="3"/>
        <v>0</v>
      </c>
      <c r="E33" s="245">
        <f>+'PRESUPUESTO P'!E38</f>
        <v>2500</v>
      </c>
      <c r="F33" s="245">
        <f t="shared" si="2"/>
        <v>0</v>
      </c>
    </row>
    <row r="34" spans="1:7" x14ac:dyDescent="0.25">
      <c r="A34" s="200" t="s">
        <v>150</v>
      </c>
      <c r="B34" s="200" t="str">
        <f t="shared" si="3"/>
        <v>Caja de puesta a tierra 30 kV</v>
      </c>
      <c r="C34" s="200" t="str">
        <f t="shared" si="3"/>
        <v>ud</v>
      </c>
      <c r="D34" s="245">
        <f t="shared" si="3"/>
        <v>0</v>
      </c>
      <c r="E34" s="245">
        <f>+'PRESUPUESTO P'!E39</f>
        <v>220</v>
      </c>
      <c r="F34" s="245">
        <f t="shared" si="2"/>
        <v>0</v>
      </c>
    </row>
    <row r="35" spans="1:7" x14ac:dyDescent="0.25">
      <c r="A35" s="200" t="s">
        <v>151</v>
      </c>
      <c r="B35" s="200" t="str">
        <f t="shared" si="3"/>
        <v>Caja de puesta a tierra 220 kV</v>
      </c>
      <c r="C35" s="200" t="str">
        <f t="shared" si="3"/>
        <v>ud</v>
      </c>
      <c r="D35" s="245">
        <f t="shared" si="3"/>
        <v>0</v>
      </c>
      <c r="E35" s="245">
        <f>+'PRESUPUESTO P'!E41</f>
        <v>900</v>
      </c>
      <c r="F35" s="245">
        <f t="shared" si="2"/>
        <v>0</v>
      </c>
    </row>
    <row r="36" spans="1:7" x14ac:dyDescent="0.25">
      <c r="A36" s="200" t="s">
        <v>152</v>
      </c>
      <c r="B36" s="200" t="str">
        <f t="shared" si="3"/>
        <v>Pequeño material p.a.t pantallas</v>
      </c>
      <c r="C36" s="200" t="str">
        <f t="shared" si="3"/>
        <v>ud</v>
      </c>
      <c r="D36" s="245">
        <f t="shared" si="3"/>
        <v>0</v>
      </c>
      <c r="E36" s="245">
        <f>+'PRESUPUESTO P'!E42</f>
        <v>400</v>
      </c>
      <c r="F36" s="245">
        <f t="shared" si="2"/>
        <v>0</v>
      </c>
    </row>
    <row r="37" spans="1:7" x14ac:dyDescent="0.25">
      <c r="A37" s="200" t="s">
        <v>153</v>
      </c>
      <c r="B37" s="200" t="str">
        <f t="shared" si="3"/>
        <v>Cable comunicaciones FO ccto 30 kV</v>
      </c>
      <c r="C37" s="200" t="str">
        <f t="shared" si="3"/>
        <v>m</v>
      </c>
      <c r="D37" s="245">
        <f t="shared" si="3"/>
        <v>0</v>
      </c>
      <c r="E37" s="245">
        <f>+'PRESUPUESTO P'!E43</f>
        <v>1.9</v>
      </c>
      <c r="F37" s="245">
        <f t="shared" si="2"/>
        <v>0</v>
      </c>
    </row>
    <row r="38" spans="1:7" x14ac:dyDescent="0.25">
      <c r="A38" s="200" t="s">
        <v>154</v>
      </c>
      <c r="B38" s="200" t="str">
        <f t="shared" si="3"/>
        <v>Cable comunicaciones FO ccto 220 kV</v>
      </c>
      <c r="C38" s="200" t="str">
        <f t="shared" si="3"/>
        <v>m</v>
      </c>
      <c r="D38" s="245">
        <f t="shared" si="3"/>
        <v>0</v>
      </c>
      <c r="E38" s="245">
        <f>+'PRESUPUESTO P'!E44</f>
        <v>2.8</v>
      </c>
      <c r="F38" s="245">
        <f t="shared" si="2"/>
        <v>0</v>
      </c>
    </row>
    <row r="39" spans="1:7" x14ac:dyDescent="0.25">
      <c r="A39" s="200" t="s">
        <v>155</v>
      </c>
      <c r="B39" s="200" t="str">
        <f t="shared" si="3"/>
        <v>Cajas empalme FO FO ccto 30 kV</v>
      </c>
      <c r="C39" s="200" t="str">
        <f t="shared" si="3"/>
        <v>ud</v>
      </c>
      <c r="D39" s="245">
        <f t="shared" si="3"/>
        <v>0</v>
      </c>
      <c r="E39" s="245">
        <f>+'PRESUPUESTO P'!E45</f>
        <v>400</v>
      </c>
      <c r="F39" s="245">
        <f t="shared" si="2"/>
        <v>0</v>
      </c>
    </row>
    <row r="40" spans="1:7" x14ac:dyDescent="0.25">
      <c r="A40" s="200" t="s">
        <v>156</v>
      </c>
      <c r="B40" s="200" t="str">
        <f t="shared" si="3"/>
        <v>Cajas empalme FO FO ccto 220 kV</v>
      </c>
      <c r="C40" s="200" t="str">
        <f t="shared" si="3"/>
        <v>ud</v>
      </c>
      <c r="D40" s="245">
        <f t="shared" si="3"/>
        <v>0</v>
      </c>
      <c r="E40" s="245">
        <f>+'PRESUPUESTO P'!E46</f>
        <v>600</v>
      </c>
      <c r="F40" s="245">
        <f t="shared" si="2"/>
        <v>0</v>
      </c>
    </row>
    <row r="41" spans="1:7" x14ac:dyDescent="0.25">
      <c r="A41" s="294" t="s">
        <v>85</v>
      </c>
      <c r="B41" s="294"/>
      <c r="C41" s="294"/>
      <c r="D41" s="294"/>
      <c r="E41" s="294"/>
      <c r="F41" s="248">
        <f>SUM(F25:F40)</f>
        <v>0</v>
      </c>
      <c r="G41" s="246"/>
    </row>
    <row r="42" spans="1:7" x14ac:dyDescent="0.25">
      <c r="A42" s="299"/>
      <c r="B42" s="299"/>
      <c r="C42" s="299"/>
      <c r="D42" s="299"/>
      <c r="E42" s="299"/>
      <c r="F42" s="299"/>
    </row>
    <row r="43" spans="1:7" x14ac:dyDescent="0.25">
      <c r="A43" s="300" t="s">
        <v>230</v>
      </c>
      <c r="B43" s="300"/>
      <c r="C43" s="300"/>
      <c r="D43" s="300"/>
      <c r="E43" s="300"/>
      <c r="F43" s="300"/>
    </row>
    <row r="44" spans="1:7" x14ac:dyDescent="0.25">
      <c r="A44" s="242" t="s">
        <v>124</v>
      </c>
      <c r="B44" s="242" t="s">
        <v>0</v>
      </c>
      <c r="C44" s="36" t="s">
        <v>1</v>
      </c>
      <c r="D44" s="36" t="s">
        <v>2</v>
      </c>
      <c r="E44" s="36" t="s">
        <v>74</v>
      </c>
      <c r="F44" s="36" t="s">
        <v>3</v>
      </c>
    </row>
    <row r="45" spans="1:7" ht="38.25" x14ac:dyDescent="0.25">
      <c r="A45" s="200" t="s">
        <v>157</v>
      </c>
      <c r="B45" s="200" t="s">
        <v>164</v>
      </c>
      <c r="C45" s="244" t="s">
        <v>5</v>
      </c>
      <c r="D45" s="245">
        <f>+'PRESUPUESTO P'!J51</f>
        <v>0</v>
      </c>
      <c r="E45" s="245">
        <f>+'PRESUPUESTO P'!E51</f>
        <v>24</v>
      </c>
      <c r="F45" s="245">
        <f t="shared" ref="F45:F50" si="4">D45*E45</f>
        <v>0</v>
      </c>
    </row>
    <row r="46" spans="1:7" ht="38.25" x14ac:dyDescent="0.25">
      <c r="A46" s="200" t="s">
        <v>158</v>
      </c>
      <c r="B46" s="200" t="s">
        <v>549</v>
      </c>
      <c r="C46" s="244" t="s">
        <v>5</v>
      </c>
      <c r="D46" s="245">
        <f>+'PRESUPUESTO P'!J52</f>
        <v>0</v>
      </c>
      <c r="E46" s="245">
        <f>+'PRESUPUESTO P'!E52</f>
        <v>80</v>
      </c>
      <c r="F46" s="245">
        <f t="shared" si="4"/>
        <v>0</v>
      </c>
    </row>
    <row r="47" spans="1:7" x14ac:dyDescent="0.25">
      <c r="A47" s="200" t="s">
        <v>159</v>
      </c>
      <c r="B47" s="200" t="s">
        <v>162</v>
      </c>
      <c r="C47" s="244" t="s">
        <v>5</v>
      </c>
      <c r="D47" s="245">
        <f>+'PRESUPUESTO P'!J53</f>
        <v>0</v>
      </c>
      <c r="E47" s="245">
        <f>+'PRESUPUESTO P'!E53</f>
        <v>250</v>
      </c>
      <c r="F47" s="245">
        <f t="shared" si="4"/>
        <v>0</v>
      </c>
    </row>
    <row r="48" spans="1:7" x14ac:dyDescent="0.25">
      <c r="A48" s="200" t="s">
        <v>160</v>
      </c>
      <c r="B48" s="200" t="s">
        <v>163</v>
      </c>
      <c r="C48" s="244" t="s">
        <v>5</v>
      </c>
      <c r="D48" s="245">
        <f>+'PRESUPUESTO P'!J54</f>
        <v>0</v>
      </c>
      <c r="E48" s="245">
        <f>+'PRESUPUESTO P'!E54</f>
        <v>1300</v>
      </c>
      <c r="F48" s="245">
        <f t="shared" si="4"/>
        <v>0</v>
      </c>
    </row>
    <row r="49" spans="1:6" x14ac:dyDescent="0.25">
      <c r="A49" s="200" t="s">
        <v>161</v>
      </c>
      <c r="B49" s="200" t="str">
        <f>+B10</f>
        <v>Cámaras de empalmes 30 kV</v>
      </c>
      <c r="C49" s="244" t="s">
        <v>6</v>
      </c>
      <c r="D49" s="245">
        <f>+'PRESUPUESTO P'!J55</f>
        <v>0</v>
      </c>
      <c r="E49" s="245">
        <f>+'PRESUPUESTO P'!E55</f>
        <v>400</v>
      </c>
      <c r="F49" s="245">
        <f t="shared" si="4"/>
        <v>0</v>
      </c>
    </row>
    <row r="50" spans="1:6" x14ac:dyDescent="0.25">
      <c r="A50" s="200" t="s">
        <v>165</v>
      </c>
      <c r="B50" s="200" t="str">
        <f>+B11</f>
        <v>Cámaras de empalmes 220 kV</v>
      </c>
      <c r="C50" s="244" t="s">
        <v>6</v>
      </c>
      <c r="D50" s="245">
        <f>+'PRESUPUESTO P'!J56</f>
        <v>0</v>
      </c>
      <c r="E50" s="245">
        <f>+'PRESUPUESTO P'!E56</f>
        <v>7500</v>
      </c>
      <c r="F50" s="245">
        <f t="shared" si="4"/>
        <v>0</v>
      </c>
    </row>
    <row r="51" spans="1:6" x14ac:dyDescent="0.25">
      <c r="A51" s="294" t="s">
        <v>86</v>
      </c>
      <c r="B51" s="294"/>
      <c r="C51" s="294"/>
      <c r="D51" s="294"/>
      <c r="E51" s="294"/>
      <c r="F51" s="248">
        <f>SUM(F45:F50)</f>
        <v>0</v>
      </c>
    </row>
    <row r="52" spans="1:6" x14ac:dyDescent="0.25">
      <c r="A52" s="294" t="s">
        <v>234</v>
      </c>
      <c r="B52" s="294"/>
      <c r="C52" s="294"/>
      <c r="D52" s="294"/>
      <c r="E52" s="294"/>
      <c r="F52" s="248">
        <f>+F51+F41+F21</f>
        <v>0</v>
      </c>
    </row>
    <row r="53" spans="1:6" x14ac:dyDescent="0.25">
      <c r="A53" s="299"/>
      <c r="B53" s="299"/>
      <c r="C53" s="299"/>
      <c r="D53" s="299"/>
      <c r="E53" s="299"/>
      <c r="F53" s="299"/>
    </row>
    <row r="54" spans="1:6" x14ac:dyDescent="0.25">
      <c r="A54" s="300" t="s">
        <v>166</v>
      </c>
      <c r="B54" s="300"/>
      <c r="C54" s="300"/>
      <c r="D54" s="300"/>
      <c r="E54" s="300"/>
      <c r="F54" s="300"/>
    </row>
    <row r="55" spans="1:6" x14ac:dyDescent="0.25">
      <c r="A55" s="300" t="s">
        <v>229</v>
      </c>
      <c r="B55" s="300"/>
      <c r="C55" s="300"/>
      <c r="D55" s="300"/>
      <c r="E55" s="300"/>
      <c r="F55" s="300"/>
    </row>
    <row r="56" spans="1:6" x14ac:dyDescent="0.25">
      <c r="A56" s="242" t="s">
        <v>124</v>
      </c>
      <c r="B56" s="242" t="s">
        <v>0</v>
      </c>
      <c r="C56" s="36" t="s">
        <v>1</v>
      </c>
      <c r="D56" s="36" t="s">
        <v>2</v>
      </c>
      <c r="E56" s="36" t="s">
        <v>74</v>
      </c>
      <c r="F56" s="36" t="s">
        <v>3</v>
      </c>
    </row>
    <row r="57" spans="1:6" ht="25.5" x14ac:dyDescent="0.25">
      <c r="A57" s="200" t="s">
        <v>167</v>
      </c>
      <c r="B57" s="201" t="s">
        <v>168</v>
      </c>
      <c r="C57" s="244" t="s">
        <v>514</v>
      </c>
      <c r="D57" s="245">
        <f>+'PRESUPUESTO P'!J63</f>
        <v>0</v>
      </c>
      <c r="E57" s="245">
        <f>+'PRESUPUESTO P'!E63</f>
        <v>750</v>
      </c>
      <c r="F57" s="245">
        <f t="shared" ref="F57:F90" si="5">D57*E57</f>
        <v>0</v>
      </c>
    </row>
    <row r="58" spans="1:6" x14ac:dyDescent="0.25">
      <c r="A58" s="200" t="s">
        <v>192</v>
      </c>
      <c r="B58" s="201" t="s">
        <v>169</v>
      </c>
      <c r="C58" s="244" t="s">
        <v>4</v>
      </c>
      <c r="D58" s="245">
        <f>+'PRESUPUESTO P'!J64</f>
        <v>0</v>
      </c>
      <c r="E58" s="245">
        <f>+'PRESUPUESTO P'!E64</f>
        <v>1.8</v>
      </c>
      <c r="F58" s="245">
        <f t="shared" si="5"/>
        <v>0</v>
      </c>
    </row>
    <row r="59" spans="1:6" x14ac:dyDescent="0.25">
      <c r="A59" s="200" t="s">
        <v>193</v>
      </c>
      <c r="B59" s="201" t="s">
        <v>170</v>
      </c>
      <c r="C59" s="244" t="s">
        <v>4</v>
      </c>
      <c r="D59" s="245">
        <f>+'PRESUPUESTO P'!J65</f>
        <v>0</v>
      </c>
      <c r="E59" s="245">
        <f>+'PRESUPUESTO P'!E65</f>
        <v>1.8</v>
      </c>
      <c r="F59" s="245">
        <f t="shared" si="5"/>
        <v>0</v>
      </c>
    </row>
    <row r="60" spans="1:6" x14ac:dyDescent="0.25">
      <c r="A60" s="200" t="s">
        <v>194</v>
      </c>
      <c r="B60" s="201" t="s">
        <v>172</v>
      </c>
      <c r="C60" s="244" t="s">
        <v>4</v>
      </c>
      <c r="D60" s="245">
        <f>+'PRESUPUESTO P'!J66</f>
        <v>0</v>
      </c>
      <c r="E60" s="245">
        <f>+'PRESUPUESTO P'!E66</f>
        <v>2.0880000000000001</v>
      </c>
      <c r="F60" s="245">
        <f t="shared" si="5"/>
        <v>0</v>
      </c>
    </row>
    <row r="61" spans="1:6" x14ac:dyDescent="0.25">
      <c r="A61" s="200" t="s">
        <v>195</v>
      </c>
      <c r="B61" s="201" t="s">
        <v>171</v>
      </c>
      <c r="C61" s="244" t="s">
        <v>5</v>
      </c>
      <c r="D61" s="245">
        <f>+'PRESUPUESTO P'!J67</f>
        <v>0</v>
      </c>
      <c r="E61" s="245">
        <f>+'PRESUPUESTO P'!E67</f>
        <v>1.6</v>
      </c>
      <c r="F61" s="245">
        <f t="shared" si="5"/>
        <v>0</v>
      </c>
    </row>
    <row r="62" spans="1:6" x14ac:dyDescent="0.25">
      <c r="A62" s="200" t="s">
        <v>196</v>
      </c>
      <c r="B62" s="201" t="s">
        <v>173</v>
      </c>
      <c r="C62" s="244" t="s">
        <v>5</v>
      </c>
      <c r="D62" s="245">
        <f>+'PRESUPUESTO P'!J68</f>
        <v>0</v>
      </c>
      <c r="E62" s="245">
        <f>+'PRESUPUESTO P'!E68</f>
        <v>1.6</v>
      </c>
      <c r="F62" s="245">
        <f t="shared" si="5"/>
        <v>0</v>
      </c>
    </row>
    <row r="63" spans="1:6" ht="25.5" x14ac:dyDescent="0.25">
      <c r="A63" s="200" t="s">
        <v>197</v>
      </c>
      <c r="B63" s="201" t="s">
        <v>175</v>
      </c>
      <c r="C63" s="244" t="s">
        <v>6</v>
      </c>
      <c r="D63" s="245">
        <f>+'PRESUPUESTO P'!J69</f>
        <v>0</v>
      </c>
      <c r="E63" s="245">
        <f>+'PRESUPUESTO P'!E69</f>
        <v>20</v>
      </c>
      <c r="F63" s="245">
        <f t="shared" si="5"/>
        <v>0</v>
      </c>
    </row>
    <row r="64" spans="1:6" ht="38.25" x14ac:dyDescent="0.25">
      <c r="A64" s="200" t="s">
        <v>198</v>
      </c>
      <c r="B64" s="201" t="s">
        <v>177</v>
      </c>
      <c r="C64" s="244" t="s">
        <v>6</v>
      </c>
      <c r="D64" s="245">
        <f>+'PRESUPUESTO P'!J70</f>
        <v>0</v>
      </c>
      <c r="E64" s="245">
        <f>+'PRESUPUESTO P'!E70</f>
        <v>65</v>
      </c>
      <c r="F64" s="245">
        <f t="shared" si="5"/>
        <v>0</v>
      </c>
    </row>
    <row r="65" spans="1:6" ht="25.5" x14ac:dyDescent="0.25">
      <c r="A65" s="200" t="s">
        <v>199</v>
      </c>
      <c r="B65" s="201" t="s">
        <v>174</v>
      </c>
      <c r="C65" s="244" t="s">
        <v>6</v>
      </c>
      <c r="D65" s="245">
        <f>+'PRESUPUESTO P'!J71</f>
        <v>0</v>
      </c>
      <c r="E65" s="245">
        <f>+'PRESUPUESTO P'!E71</f>
        <v>85</v>
      </c>
      <c r="F65" s="245">
        <f t="shared" si="5"/>
        <v>0</v>
      </c>
    </row>
    <row r="66" spans="1:6" ht="25.5" x14ac:dyDescent="0.25">
      <c r="A66" s="200" t="s">
        <v>200</v>
      </c>
      <c r="B66" s="201" t="s">
        <v>176</v>
      </c>
      <c r="C66" s="244" t="s">
        <v>6</v>
      </c>
      <c r="D66" s="245">
        <f>+'PRESUPUESTO P'!J72</f>
        <v>0</v>
      </c>
      <c r="E66" s="245">
        <f>+'PRESUPUESTO P'!E72</f>
        <v>101</v>
      </c>
      <c r="F66" s="245">
        <f t="shared" si="5"/>
        <v>0</v>
      </c>
    </row>
    <row r="67" spans="1:6" ht="25.5" x14ac:dyDescent="0.25">
      <c r="A67" s="200" t="s">
        <v>201</v>
      </c>
      <c r="B67" s="201" t="s">
        <v>179</v>
      </c>
      <c r="C67" s="244" t="s">
        <v>6</v>
      </c>
      <c r="D67" s="245">
        <f>+'PRESUPUESTO P'!J73</f>
        <v>0</v>
      </c>
      <c r="E67" s="245">
        <f>+'PRESUPUESTO P'!E73</f>
        <v>240</v>
      </c>
      <c r="F67" s="245">
        <f t="shared" si="5"/>
        <v>0</v>
      </c>
    </row>
    <row r="68" spans="1:6" ht="38.25" x14ac:dyDescent="0.25">
      <c r="A68" s="200" t="s">
        <v>202</v>
      </c>
      <c r="B68" s="201" t="s">
        <v>178</v>
      </c>
      <c r="C68" s="244" t="s">
        <v>6</v>
      </c>
      <c r="D68" s="245">
        <f>+'PRESUPUESTO P'!J74</f>
        <v>0</v>
      </c>
      <c r="E68" s="245">
        <f>+'PRESUPUESTO P'!E74</f>
        <v>264</v>
      </c>
      <c r="F68" s="245">
        <f t="shared" si="5"/>
        <v>0</v>
      </c>
    </row>
    <row r="69" spans="1:6" ht="25.5" x14ac:dyDescent="0.25">
      <c r="A69" s="200" t="s">
        <v>203</v>
      </c>
      <c r="B69" s="201" t="s">
        <v>539</v>
      </c>
      <c r="C69" s="244" t="s">
        <v>6</v>
      </c>
      <c r="D69" s="245">
        <f>+'PRESUPUESTO P'!J75</f>
        <v>0</v>
      </c>
      <c r="E69" s="245">
        <f>+'PRESUPUESTO P'!E75</f>
        <v>290.40000000000003</v>
      </c>
      <c r="F69" s="245">
        <f t="shared" si="5"/>
        <v>0</v>
      </c>
    </row>
    <row r="70" spans="1:6" ht="25.5" x14ac:dyDescent="0.25">
      <c r="A70" s="200" t="s">
        <v>204</v>
      </c>
      <c r="B70" s="201" t="s">
        <v>181</v>
      </c>
      <c r="C70" s="244" t="s">
        <v>6</v>
      </c>
      <c r="D70" s="245">
        <f>+'PRESUPUESTO P'!J76</f>
        <v>0</v>
      </c>
      <c r="E70" s="245">
        <f>+'PRESUPUESTO P'!E76</f>
        <v>377.52000000000004</v>
      </c>
      <c r="F70" s="245">
        <f t="shared" si="5"/>
        <v>0</v>
      </c>
    </row>
    <row r="71" spans="1:6" x14ac:dyDescent="0.25">
      <c r="A71" s="200" t="s">
        <v>205</v>
      </c>
      <c r="B71" s="201" t="s">
        <v>182</v>
      </c>
      <c r="C71" s="244" t="s">
        <v>6</v>
      </c>
      <c r="D71" s="245">
        <f>+'PRESUPUESTO P'!J77</f>
        <v>0</v>
      </c>
      <c r="E71" s="245">
        <f>+'PRESUPUESTO P'!E77</f>
        <v>250</v>
      </c>
      <c r="F71" s="245">
        <f t="shared" si="5"/>
        <v>0</v>
      </c>
    </row>
    <row r="72" spans="1:6" ht="38.25" x14ac:dyDescent="0.25">
      <c r="A72" s="200" t="s">
        <v>206</v>
      </c>
      <c r="B72" s="201" t="s">
        <v>183</v>
      </c>
      <c r="C72" s="244" t="s">
        <v>6</v>
      </c>
      <c r="D72" s="245">
        <f>+'PRESUPUESTO P'!J78</f>
        <v>0</v>
      </c>
      <c r="E72" s="245">
        <f>+'PRESUPUESTO P'!E78</f>
        <v>275</v>
      </c>
      <c r="F72" s="245">
        <f t="shared" si="5"/>
        <v>0</v>
      </c>
    </row>
    <row r="73" spans="1:6" x14ac:dyDescent="0.25">
      <c r="A73" s="200" t="s">
        <v>207</v>
      </c>
      <c r="B73" s="201" t="s">
        <v>184</v>
      </c>
      <c r="C73" s="244" t="s">
        <v>6</v>
      </c>
      <c r="D73" s="245">
        <f>+'PRESUPUESTO P'!J79</f>
        <v>0</v>
      </c>
      <c r="E73" s="245">
        <f>+'PRESUPUESTO P'!E79</f>
        <v>302.5</v>
      </c>
      <c r="F73" s="245">
        <f t="shared" si="5"/>
        <v>0</v>
      </c>
    </row>
    <row r="74" spans="1:6" x14ac:dyDescent="0.25">
      <c r="A74" s="200" t="s">
        <v>208</v>
      </c>
      <c r="B74" s="201" t="s">
        <v>185</v>
      </c>
      <c r="C74" s="244" t="s">
        <v>6</v>
      </c>
      <c r="D74" s="245">
        <f>+'PRESUPUESTO P'!J80</f>
        <v>0</v>
      </c>
      <c r="E74" s="245">
        <f>+'PRESUPUESTO P'!E80</f>
        <v>393.25</v>
      </c>
      <c r="F74" s="245">
        <f t="shared" si="5"/>
        <v>0</v>
      </c>
    </row>
    <row r="75" spans="1:6" ht="25.5" x14ac:dyDescent="0.25">
      <c r="A75" s="200" t="s">
        <v>209</v>
      </c>
      <c r="B75" s="201" t="s">
        <v>189</v>
      </c>
      <c r="C75" s="244" t="s">
        <v>6</v>
      </c>
      <c r="D75" s="245">
        <f>+'PRESUPUESTO P'!J81</f>
        <v>0</v>
      </c>
      <c r="E75" s="245">
        <f>+'PRESUPUESTO P'!E81</f>
        <v>40</v>
      </c>
      <c r="F75" s="245">
        <f t="shared" si="5"/>
        <v>0</v>
      </c>
    </row>
    <row r="76" spans="1:6" ht="25.5" x14ac:dyDescent="0.25">
      <c r="A76" s="200" t="s">
        <v>210</v>
      </c>
      <c r="B76" s="201" t="s">
        <v>190</v>
      </c>
      <c r="C76" s="244" t="s">
        <v>6</v>
      </c>
      <c r="D76" s="245">
        <f>+'PRESUPUESTO P'!J82</f>
        <v>0</v>
      </c>
      <c r="E76" s="245">
        <f>+'PRESUPUESTO P'!E82</f>
        <v>40</v>
      </c>
      <c r="F76" s="245">
        <f t="shared" si="5"/>
        <v>0</v>
      </c>
    </row>
    <row r="77" spans="1:6" ht="25.5" x14ac:dyDescent="0.25">
      <c r="A77" s="200" t="s">
        <v>211</v>
      </c>
      <c r="B77" s="201" t="s">
        <v>191</v>
      </c>
      <c r="C77" s="244" t="s">
        <v>6</v>
      </c>
      <c r="D77" s="245">
        <f>+'PRESUPUESTO P'!J83</f>
        <v>0</v>
      </c>
      <c r="E77" s="245">
        <f>+'PRESUPUESTO P'!E83</f>
        <v>40</v>
      </c>
      <c r="F77" s="245">
        <f t="shared" si="5"/>
        <v>0</v>
      </c>
    </row>
    <row r="78" spans="1:6" ht="25.5" x14ac:dyDescent="0.25">
      <c r="A78" s="200" t="s">
        <v>212</v>
      </c>
      <c r="B78" s="201" t="s">
        <v>186</v>
      </c>
      <c r="C78" s="244" t="s">
        <v>6</v>
      </c>
      <c r="D78" s="245">
        <f>+'PRESUPUESTO P'!J84</f>
        <v>0</v>
      </c>
      <c r="E78" s="245">
        <f>+'PRESUPUESTO P'!E84</f>
        <v>52</v>
      </c>
      <c r="F78" s="245">
        <f t="shared" si="5"/>
        <v>0</v>
      </c>
    </row>
    <row r="79" spans="1:6" ht="25.5" x14ac:dyDescent="0.25">
      <c r="A79" s="200" t="s">
        <v>213</v>
      </c>
      <c r="B79" s="201" t="s">
        <v>187</v>
      </c>
      <c r="C79" s="244" t="s">
        <v>6</v>
      </c>
      <c r="D79" s="245">
        <f>+'PRESUPUESTO P'!J85</f>
        <v>0</v>
      </c>
      <c r="E79" s="245">
        <f>+'PRESUPUESTO P'!E85</f>
        <v>52</v>
      </c>
      <c r="F79" s="245">
        <f t="shared" si="5"/>
        <v>0</v>
      </c>
    </row>
    <row r="80" spans="1:6" ht="25.5" x14ac:dyDescent="0.25">
      <c r="A80" s="200" t="s">
        <v>214</v>
      </c>
      <c r="B80" s="201" t="s">
        <v>188</v>
      </c>
      <c r="C80" s="244" t="s">
        <v>6</v>
      </c>
      <c r="D80" s="245">
        <f>+'PRESUPUESTO P'!J86</f>
        <v>0</v>
      </c>
      <c r="E80" s="245">
        <f>+'PRESUPUESTO P'!E86</f>
        <v>52</v>
      </c>
      <c r="F80" s="245">
        <f t="shared" si="5"/>
        <v>0</v>
      </c>
    </row>
    <row r="81" spans="1:6" x14ac:dyDescent="0.25">
      <c r="A81" s="200" t="s">
        <v>215</v>
      </c>
      <c r="B81" s="201" t="s">
        <v>217</v>
      </c>
      <c r="C81" s="244" t="s">
        <v>6</v>
      </c>
      <c r="D81" s="245">
        <f>+'PRESUPUESTO P'!J87</f>
        <v>0</v>
      </c>
      <c r="E81" s="245">
        <f>+'PRESUPUESTO P'!E87</f>
        <v>12</v>
      </c>
      <c r="F81" s="245">
        <f t="shared" si="5"/>
        <v>0</v>
      </c>
    </row>
    <row r="82" spans="1:6" ht="25.5" x14ac:dyDescent="0.25">
      <c r="A82" s="200" t="s">
        <v>216</v>
      </c>
      <c r="B82" s="201" t="s">
        <v>604</v>
      </c>
      <c r="C82" s="244" t="s">
        <v>6</v>
      </c>
      <c r="D82" s="245">
        <f>+'PRESUPUESTO P'!J88</f>
        <v>0</v>
      </c>
      <c r="E82" s="245">
        <f>+'PRESUPUESTO P'!E88</f>
        <v>12</v>
      </c>
      <c r="F82" s="245">
        <f t="shared" si="5"/>
        <v>0</v>
      </c>
    </row>
    <row r="83" spans="1:6" ht="25.5" x14ac:dyDescent="0.25">
      <c r="A83" s="200" t="s">
        <v>220</v>
      </c>
      <c r="B83" s="201" t="s">
        <v>605</v>
      </c>
      <c r="C83" s="244" t="s">
        <v>6</v>
      </c>
      <c r="D83" s="245">
        <f>+'PRESUPUESTO P'!J89</f>
        <v>0</v>
      </c>
      <c r="E83" s="245">
        <f>+'PRESUPUESTO P'!E89</f>
        <v>12</v>
      </c>
      <c r="F83" s="245">
        <f t="shared" si="5"/>
        <v>0</v>
      </c>
    </row>
    <row r="84" spans="1:6" ht="25.5" x14ac:dyDescent="0.25">
      <c r="A84" s="200" t="s">
        <v>551</v>
      </c>
      <c r="B84" s="201" t="s">
        <v>606</v>
      </c>
      <c r="C84" s="244" t="s">
        <v>6</v>
      </c>
      <c r="D84" s="245">
        <f>+'PRESUPUESTO P'!J90</f>
        <v>0</v>
      </c>
      <c r="E84" s="245">
        <f>+'PRESUPUESTO P'!E90</f>
        <v>25.200000000000003</v>
      </c>
      <c r="F84" s="245">
        <f t="shared" si="5"/>
        <v>0</v>
      </c>
    </row>
    <row r="85" spans="1:6" x14ac:dyDescent="0.25">
      <c r="A85" s="200" t="s">
        <v>552</v>
      </c>
      <c r="B85" s="201" t="s">
        <v>607</v>
      </c>
      <c r="C85" s="244" t="s">
        <v>6</v>
      </c>
      <c r="D85" s="245">
        <f>+'PRESUPUESTO P'!J91</f>
        <v>0</v>
      </c>
      <c r="E85" s="245">
        <f>+'PRESUPUESTO P'!E91</f>
        <v>12</v>
      </c>
      <c r="F85" s="245">
        <f t="shared" si="5"/>
        <v>0</v>
      </c>
    </row>
    <row r="86" spans="1:6" x14ac:dyDescent="0.25">
      <c r="A86" s="200" t="s">
        <v>553</v>
      </c>
      <c r="B86" s="201" t="s">
        <v>608</v>
      </c>
      <c r="C86" s="244" t="s">
        <v>6</v>
      </c>
      <c r="D86" s="245">
        <f>+'PRESUPUESTO P'!J92</f>
        <v>0</v>
      </c>
      <c r="E86" s="245">
        <f>+'PRESUPUESTO P'!E92</f>
        <v>12</v>
      </c>
      <c r="F86" s="245">
        <f t="shared" si="5"/>
        <v>0</v>
      </c>
    </row>
    <row r="87" spans="1:6" x14ac:dyDescent="0.25">
      <c r="A87" s="200" t="s">
        <v>554</v>
      </c>
      <c r="B87" s="201" t="s">
        <v>609</v>
      </c>
      <c r="C87" s="244" t="s">
        <v>6</v>
      </c>
      <c r="D87" s="245">
        <f>+'PRESUPUESTO P'!J93</f>
        <v>0</v>
      </c>
      <c r="E87" s="245">
        <f>+'PRESUPUESTO P'!E93</f>
        <v>11</v>
      </c>
      <c r="F87" s="245">
        <f t="shared" si="5"/>
        <v>0</v>
      </c>
    </row>
    <row r="88" spans="1:6" x14ac:dyDescent="0.25">
      <c r="A88" s="200" t="s">
        <v>557</v>
      </c>
      <c r="B88" s="201" t="s">
        <v>610</v>
      </c>
      <c r="C88" s="244" t="s">
        <v>6</v>
      </c>
      <c r="D88" s="245">
        <f>+'PRESUPUESTO P'!J94</f>
        <v>0</v>
      </c>
      <c r="E88" s="245">
        <f>+'PRESUPUESTO P'!E94</f>
        <v>11</v>
      </c>
      <c r="F88" s="245">
        <f t="shared" si="5"/>
        <v>0</v>
      </c>
    </row>
    <row r="89" spans="1:6" x14ac:dyDescent="0.25">
      <c r="A89" s="200" t="s">
        <v>558</v>
      </c>
      <c r="B89" s="201" t="s">
        <v>221</v>
      </c>
      <c r="C89" s="244" t="s">
        <v>6</v>
      </c>
      <c r="D89" s="245">
        <f>+'PRESUPUESTO P'!J95</f>
        <v>0</v>
      </c>
      <c r="E89" s="245">
        <f>+'PRESUPUESTO P'!E95</f>
        <v>120</v>
      </c>
      <c r="F89" s="245">
        <f t="shared" si="5"/>
        <v>0</v>
      </c>
    </row>
    <row r="90" spans="1:6" x14ac:dyDescent="0.25">
      <c r="A90" s="200" t="s">
        <v>561</v>
      </c>
      <c r="B90" s="201" t="s">
        <v>562</v>
      </c>
      <c r="C90" s="244" t="s">
        <v>6</v>
      </c>
      <c r="D90" s="245">
        <f>+'PRESUPUESTO P'!J96</f>
        <v>0</v>
      </c>
      <c r="E90" s="245">
        <f>+'PRESUPUESTO P'!E96</f>
        <v>500</v>
      </c>
      <c r="F90" s="245">
        <f t="shared" si="5"/>
        <v>0</v>
      </c>
    </row>
    <row r="91" spans="1:6" x14ac:dyDescent="0.25">
      <c r="A91" s="294" t="s">
        <v>78</v>
      </c>
      <c r="B91" s="294"/>
      <c r="C91" s="294"/>
      <c r="D91" s="294"/>
      <c r="E91" s="294"/>
      <c r="F91" s="248">
        <f>SUM(F57:F90)</f>
        <v>0</v>
      </c>
    </row>
    <row r="92" spans="1:6" x14ac:dyDescent="0.25">
      <c r="A92" s="299"/>
      <c r="B92" s="299"/>
      <c r="C92" s="299"/>
      <c r="D92" s="299"/>
      <c r="E92" s="299"/>
      <c r="F92" s="299"/>
    </row>
    <row r="93" spans="1:6" x14ac:dyDescent="0.25">
      <c r="A93" s="300" t="s">
        <v>228</v>
      </c>
      <c r="B93" s="300"/>
      <c r="C93" s="300"/>
      <c r="D93" s="300"/>
      <c r="E93" s="300"/>
      <c r="F93" s="300"/>
    </row>
    <row r="94" spans="1:6" x14ac:dyDescent="0.25">
      <c r="A94" s="242" t="s">
        <v>124</v>
      </c>
      <c r="B94" s="242" t="s">
        <v>0</v>
      </c>
      <c r="C94" s="36" t="s">
        <v>1</v>
      </c>
      <c r="D94" s="36" t="s">
        <v>2</v>
      </c>
      <c r="E94" s="36" t="s">
        <v>74</v>
      </c>
      <c r="F94" s="36" t="s">
        <v>3</v>
      </c>
    </row>
    <row r="95" spans="1:6" ht="25.5" x14ac:dyDescent="0.25">
      <c r="A95" s="200" t="s">
        <v>167</v>
      </c>
      <c r="B95" s="201" t="str">
        <f>+B57</f>
        <v>Apoyo metálico de celosia de acero galvanizados.</v>
      </c>
      <c r="C95" s="244" t="s">
        <v>514</v>
      </c>
      <c r="D95" s="245">
        <f>+D57</f>
        <v>0</v>
      </c>
      <c r="E95" s="245">
        <f>+'PRESUPUESTO P'!E101</f>
        <v>200</v>
      </c>
      <c r="F95" s="245">
        <f>D95*E95</f>
        <v>0</v>
      </c>
    </row>
    <row r="96" spans="1:6" x14ac:dyDescent="0.25">
      <c r="A96" s="200" t="s">
        <v>192</v>
      </c>
      <c r="B96" s="201" t="str">
        <f t="shared" ref="B96:B111" si="6">+B58</f>
        <v>Conductor tipo LA280 cctos 30 kV</v>
      </c>
      <c r="C96" s="244" t="str">
        <f t="shared" ref="C96:C119" si="7">+C58</f>
        <v>kg</v>
      </c>
      <c r="D96" s="245">
        <f t="shared" ref="D96:D128" si="8">+D58</f>
        <v>0</v>
      </c>
      <c r="E96" s="245">
        <f>+'PRESUPUESTO P'!E102</f>
        <v>1.3</v>
      </c>
      <c r="F96" s="245">
        <f t="shared" ref="F96:F128" si="9">D96*E96</f>
        <v>0</v>
      </c>
    </row>
    <row r="97" spans="1:6" x14ac:dyDescent="0.25">
      <c r="A97" s="200" t="s">
        <v>193</v>
      </c>
      <c r="B97" s="201" t="str">
        <f t="shared" si="6"/>
        <v>Conductor tipo LA280 cctos 220 kV</v>
      </c>
      <c r="C97" s="244" t="str">
        <f t="shared" si="7"/>
        <v>kg</v>
      </c>
      <c r="D97" s="245">
        <f t="shared" si="8"/>
        <v>0</v>
      </c>
      <c r="E97" s="245">
        <f>+'PRESUPUESTO P'!E103</f>
        <v>1.3</v>
      </c>
      <c r="F97" s="245">
        <f t="shared" si="9"/>
        <v>0</v>
      </c>
    </row>
    <row r="98" spans="1:6" x14ac:dyDescent="0.25">
      <c r="A98" s="200" t="s">
        <v>194</v>
      </c>
      <c r="B98" s="201" t="str">
        <f t="shared" si="6"/>
        <v>Conductor tipo LA510 cctos 220 kV</v>
      </c>
      <c r="C98" s="244" t="str">
        <f t="shared" si="7"/>
        <v>kg</v>
      </c>
      <c r="D98" s="245">
        <f t="shared" si="8"/>
        <v>0</v>
      </c>
      <c r="E98" s="245">
        <f>+'PRESUPUESTO P'!E104</f>
        <v>2.08</v>
      </c>
      <c r="F98" s="245">
        <f t="shared" si="9"/>
        <v>0</v>
      </c>
    </row>
    <row r="99" spans="1:6" x14ac:dyDescent="0.25">
      <c r="A99" s="200" t="s">
        <v>195</v>
      </c>
      <c r="B99" s="201" t="str">
        <f t="shared" si="6"/>
        <v>Cable compuesto OPGW cctos 30 kV</v>
      </c>
      <c r="C99" s="244" t="str">
        <f t="shared" si="7"/>
        <v>m</v>
      </c>
      <c r="D99" s="245">
        <f t="shared" si="8"/>
        <v>0</v>
      </c>
      <c r="E99" s="245">
        <f>+'PRESUPUESTO P'!E105</f>
        <v>2.5</v>
      </c>
      <c r="F99" s="245">
        <f t="shared" si="9"/>
        <v>0</v>
      </c>
    </row>
    <row r="100" spans="1:6" x14ac:dyDescent="0.25">
      <c r="A100" s="200" t="s">
        <v>196</v>
      </c>
      <c r="B100" s="201" t="str">
        <f t="shared" si="6"/>
        <v>Cable compuesto OPGW cctos 220 kV</v>
      </c>
      <c r="C100" s="244" t="str">
        <f t="shared" si="7"/>
        <v>m</v>
      </c>
      <c r="D100" s="245">
        <f t="shared" si="8"/>
        <v>0</v>
      </c>
      <c r="E100" s="245">
        <f>+'PRESUPUESTO P'!E106</f>
        <v>2.5</v>
      </c>
      <c r="F100" s="245">
        <f t="shared" si="9"/>
        <v>0</v>
      </c>
    </row>
    <row r="101" spans="1:6" ht="25.5" x14ac:dyDescent="0.25">
      <c r="A101" s="200" t="s">
        <v>197</v>
      </c>
      <c r="B101" s="201" t="str">
        <f t="shared" si="6"/>
        <v>Aislador Composite ccto 30 kV DX LA280</v>
      </c>
      <c r="C101" s="244" t="str">
        <f t="shared" si="7"/>
        <v>ud</v>
      </c>
      <c r="D101" s="245">
        <f t="shared" si="8"/>
        <v>0</v>
      </c>
      <c r="E101" s="245">
        <f>+'PRESUPUESTO P'!E107</f>
        <v>43</v>
      </c>
      <c r="F101" s="245">
        <f t="shared" si="9"/>
        <v>0</v>
      </c>
    </row>
    <row r="102" spans="1:6" ht="38.25" x14ac:dyDescent="0.25">
      <c r="A102" s="200" t="s">
        <v>198</v>
      </c>
      <c r="B102" s="201" t="str">
        <f t="shared" si="6"/>
        <v>Aislador Composite ccto 30 kV DX LA280 en apoyos compartidos 220 kV-ap06-08-14</v>
      </c>
      <c r="C102" s="244" t="str">
        <f t="shared" si="7"/>
        <v>ud</v>
      </c>
      <c r="D102" s="245">
        <f t="shared" si="8"/>
        <v>0</v>
      </c>
      <c r="E102" s="245">
        <f>+'PRESUPUESTO P'!E108</f>
        <v>47.300000000000004</v>
      </c>
      <c r="F102" s="245">
        <f t="shared" si="9"/>
        <v>0</v>
      </c>
    </row>
    <row r="103" spans="1:6" ht="25.5" x14ac:dyDescent="0.25">
      <c r="A103" s="200" t="s">
        <v>199</v>
      </c>
      <c r="B103" s="201" t="str">
        <f t="shared" si="6"/>
        <v>Aislador Composite ccto 220 kV DX LA280</v>
      </c>
      <c r="C103" s="244" t="str">
        <f t="shared" si="7"/>
        <v>ud</v>
      </c>
      <c r="D103" s="245">
        <f t="shared" si="8"/>
        <v>0</v>
      </c>
      <c r="E103" s="245">
        <f>+'PRESUPUESTO P'!E109</f>
        <v>52.030000000000008</v>
      </c>
      <c r="F103" s="245">
        <f t="shared" si="9"/>
        <v>0</v>
      </c>
    </row>
    <row r="104" spans="1:6" ht="25.5" x14ac:dyDescent="0.25">
      <c r="A104" s="200" t="s">
        <v>200</v>
      </c>
      <c r="B104" s="201" t="str">
        <f t="shared" si="6"/>
        <v>Aislador Composite ccto 220 kV TX LA510</v>
      </c>
      <c r="C104" s="244" t="str">
        <f t="shared" si="7"/>
        <v>ud</v>
      </c>
      <c r="D104" s="245">
        <f t="shared" si="8"/>
        <v>0</v>
      </c>
      <c r="E104" s="245">
        <f>+'PRESUPUESTO P'!E110</f>
        <v>67.63900000000001</v>
      </c>
      <c r="F104" s="245">
        <f t="shared" si="9"/>
        <v>0</v>
      </c>
    </row>
    <row r="105" spans="1:6" ht="25.5" x14ac:dyDescent="0.25">
      <c r="A105" s="200" t="s">
        <v>201</v>
      </c>
      <c r="B105" s="201" t="str">
        <f t="shared" si="6"/>
        <v>Cadena suspensión ccto 30 kV DX LA280</v>
      </c>
      <c r="C105" s="244" t="str">
        <f t="shared" si="7"/>
        <v>ud</v>
      </c>
      <c r="D105" s="245">
        <f t="shared" si="8"/>
        <v>0</v>
      </c>
      <c r="E105" s="245">
        <f>+'PRESUPUESTO P'!E111</f>
        <v>170</v>
      </c>
      <c r="F105" s="245">
        <f t="shared" si="9"/>
        <v>0</v>
      </c>
    </row>
    <row r="106" spans="1:6" ht="38.25" x14ac:dyDescent="0.25">
      <c r="A106" s="200" t="s">
        <v>202</v>
      </c>
      <c r="B106" s="201" t="str">
        <f t="shared" si="6"/>
        <v>Cadena suspensión ccto 30 kV DX LA280 en apoyos compartidos 220 kV-ap06-08-14</v>
      </c>
      <c r="C106" s="244" t="str">
        <f t="shared" si="7"/>
        <v>ud</v>
      </c>
      <c r="D106" s="245">
        <f t="shared" si="8"/>
        <v>0</v>
      </c>
      <c r="E106" s="245">
        <f>+'PRESUPUESTO P'!E112</f>
        <v>187.00000000000003</v>
      </c>
      <c r="F106" s="245">
        <f t="shared" si="9"/>
        <v>0</v>
      </c>
    </row>
    <row r="107" spans="1:6" ht="25.5" x14ac:dyDescent="0.25">
      <c r="A107" s="200" t="s">
        <v>203</v>
      </c>
      <c r="B107" s="201" t="str">
        <f t="shared" si="6"/>
        <v>Cadena suspensión ccto 220 kV DX LA280</v>
      </c>
      <c r="C107" s="244" t="str">
        <f t="shared" si="7"/>
        <v>ud</v>
      </c>
      <c r="D107" s="245">
        <f t="shared" si="8"/>
        <v>0</v>
      </c>
      <c r="E107" s="245">
        <f>+'PRESUPUESTO P'!E113</f>
        <v>205.70000000000005</v>
      </c>
      <c r="F107" s="245">
        <f t="shared" si="9"/>
        <v>0</v>
      </c>
    </row>
    <row r="108" spans="1:6" ht="25.5" x14ac:dyDescent="0.25">
      <c r="A108" s="200" t="s">
        <v>204</v>
      </c>
      <c r="B108" s="201" t="str">
        <f t="shared" si="6"/>
        <v>Cadena suspensión ccto 220 kV TX LA510</v>
      </c>
      <c r="C108" s="244" t="str">
        <f t="shared" si="7"/>
        <v>ud</v>
      </c>
      <c r="D108" s="245">
        <f t="shared" si="8"/>
        <v>0</v>
      </c>
      <c r="E108" s="245">
        <f>+'PRESUPUESTO P'!E114</f>
        <v>267.41000000000008</v>
      </c>
      <c r="F108" s="245">
        <f t="shared" si="9"/>
        <v>0</v>
      </c>
    </row>
    <row r="109" spans="1:6" x14ac:dyDescent="0.25">
      <c r="A109" s="200" t="s">
        <v>205</v>
      </c>
      <c r="B109" s="201" t="str">
        <f t="shared" si="6"/>
        <v>Cadena amarre ccto 30 kV DX LA280</v>
      </c>
      <c r="C109" s="244" t="str">
        <f t="shared" si="7"/>
        <v>ud</v>
      </c>
      <c r="D109" s="245">
        <f t="shared" si="8"/>
        <v>0</v>
      </c>
      <c r="E109" s="245">
        <f>+'PRESUPUESTO P'!E115</f>
        <v>385</v>
      </c>
      <c r="F109" s="245">
        <f t="shared" si="9"/>
        <v>0</v>
      </c>
    </row>
    <row r="110" spans="1:6" ht="38.25" x14ac:dyDescent="0.25">
      <c r="A110" s="200" t="s">
        <v>206</v>
      </c>
      <c r="B110" s="201" t="str">
        <f t="shared" si="6"/>
        <v>Cadena amarre ccto 30 kV DX LA280 en apoyos compartidos 220 kV-ap06-08-14</v>
      </c>
      <c r="C110" s="244" t="str">
        <f t="shared" si="7"/>
        <v>ud</v>
      </c>
      <c r="D110" s="245">
        <f t="shared" si="8"/>
        <v>0</v>
      </c>
      <c r="E110" s="245">
        <f>+'PRESUPUESTO P'!E116</f>
        <v>423.50000000000006</v>
      </c>
      <c r="F110" s="245">
        <f t="shared" si="9"/>
        <v>0</v>
      </c>
    </row>
    <row r="111" spans="1:6" x14ac:dyDescent="0.25">
      <c r="A111" s="200" t="s">
        <v>207</v>
      </c>
      <c r="B111" s="201" t="str">
        <f t="shared" si="6"/>
        <v>Cadena amarre ccto 220 kV DX LA280</v>
      </c>
      <c r="C111" s="244" t="str">
        <f t="shared" si="7"/>
        <v>ud</v>
      </c>
      <c r="D111" s="245">
        <f t="shared" si="8"/>
        <v>0</v>
      </c>
      <c r="E111" s="245">
        <f>+'PRESUPUESTO P'!E117</f>
        <v>465.85000000000008</v>
      </c>
      <c r="F111" s="245">
        <f t="shared" si="9"/>
        <v>0</v>
      </c>
    </row>
    <row r="112" spans="1:6" x14ac:dyDescent="0.25">
      <c r="A112" s="200" t="s">
        <v>208</v>
      </c>
      <c r="B112" s="201" t="str">
        <f t="shared" ref="B112:C121" si="10">+B74</f>
        <v>Cadena amarre ccto 220 kV TX LA510</v>
      </c>
      <c r="C112" s="244" t="str">
        <f t="shared" si="7"/>
        <v>ud</v>
      </c>
      <c r="D112" s="245">
        <f t="shared" si="8"/>
        <v>0</v>
      </c>
      <c r="E112" s="245">
        <f>+'PRESUPUESTO P'!E118</f>
        <v>605.60500000000013</v>
      </c>
      <c r="F112" s="245">
        <f t="shared" si="9"/>
        <v>0</v>
      </c>
    </row>
    <row r="113" spans="1:6" ht="25.5" x14ac:dyDescent="0.25">
      <c r="A113" s="200" t="s">
        <v>209</v>
      </c>
      <c r="B113" s="201" t="str">
        <f t="shared" si="10"/>
        <v>Cadena suspensión OPGW ccto 30 kV DX LA280</v>
      </c>
      <c r="C113" s="244" t="str">
        <f t="shared" si="7"/>
        <v>ud</v>
      </c>
      <c r="D113" s="245">
        <f t="shared" si="8"/>
        <v>0</v>
      </c>
      <c r="E113" s="245">
        <f>+'PRESUPUESTO P'!E119</f>
        <v>120</v>
      </c>
      <c r="F113" s="245">
        <f t="shared" si="9"/>
        <v>0</v>
      </c>
    </row>
    <row r="114" spans="1:6" ht="25.5" x14ac:dyDescent="0.25">
      <c r="A114" s="200" t="s">
        <v>210</v>
      </c>
      <c r="B114" s="201" t="str">
        <f t="shared" si="10"/>
        <v>Cadena suspensión OPGW ccto 220 kV DX LA280</v>
      </c>
      <c r="C114" s="244" t="str">
        <f t="shared" si="7"/>
        <v>ud</v>
      </c>
      <c r="D114" s="245">
        <f t="shared" si="8"/>
        <v>0</v>
      </c>
      <c r="E114" s="245">
        <f>+'PRESUPUESTO P'!E120</f>
        <v>120</v>
      </c>
      <c r="F114" s="245">
        <f t="shared" si="9"/>
        <v>0</v>
      </c>
    </row>
    <row r="115" spans="1:6" ht="25.5" x14ac:dyDescent="0.25">
      <c r="A115" s="200" t="s">
        <v>211</v>
      </c>
      <c r="B115" s="201" t="str">
        <f t="shared" si="10"/>
        <v>Cadena suspensión OPGW ccto 220 kV TX LA510</v>
      </c>
      <c r="C115" s="244" t="str">
        <f t="shared" si="7"/>
        <v>ud</v>
      </c>
      <c r="D115" s="245">
        <f t="shared" si="8"/>
        <v>0</v>
      </c>
      <c r="E115" s="245">
        <f>+'PRESUPUESTO P'!E121</f>
        <v>120</v>
      </c>
      <c r="F115" s="245">
        <f t="shared" si="9"/>
        <v>0</v>
      </c>
    </row>
    <row r="116" spans="1:6" ht="25.5" x14ac:dyDescent="0.25">
      <c r="A116" s="200" t="s">
        <v>212</v>
      </c>
      <c r="B116" s="201" t="str">
        <f t="shared" si="10"/>
        <v>Cadena amarre OPGW ccto 30 kV DX LA280</v>
      </c>
      <c r="C116" s="244" t="str">
        <f t="shared" si="7"/>
        <v>ud</v>
      </c>
      <c r="D116" s="245">
        <f t="shared" si="8"/>
        <v>0</v>
      </c>
      <c r="E116" s="245">
        <f>+'PRESUPUESTO P'!E122</f>
        <v>156</v>
      </c>
      <c r="F116" s="245">
        <f t="shared" si="9"/>
        <v>0</v>
      </c>
    </row>
    <row r="117" spans="1:6" ht="25.5" x14ac:dyDescent="0.25">
      <c r="A117" s="200" t="s">
        <v>213</v>
      </c>
      <c r="B117" s="201" t="str">
        <f t="shared" si="10"/>
        <v>Cadena amarre OPGW ccto 220 kV DX LA280</v>
      </c>
      <c r="C117" s="244" t="str">
        <f t="shared" si="7"/>
        <v>ud</v>
      </c>
      <c r="D117" s="245">
        <f t="shared" si="8"/>
        <v>0</v>
      </c>
      <c r="E117" s="245">
        <f>+'PRESUPUESTO P'!E123</f>
        <v>156</v>
      </c>
      <c r="F117" s="245">
        <f t="shared" si="9"/>
        <v>0</v>
      </c>
    </row>
    <row r="118" spans="1:6" ht="25.5" x14ac:dyDescent="0.25">
      <c r="A118" s="200" t="s">
        <v>214</v>
      </c>
      <c r="B118" s="201" t="str">
        <f t="shared" si="10"/>
        <v>Cadena amarre OPGW ccto 220 kV TX LA510</v>
      </c>
      <c r="C118" s="244" t="str">
        <f t="shared" si="7"/>
        <v>ud</v>
      </c>
      <c r="D118" s="245">
        <f t="shared" si="8"/>
        <v>0</v>
      </c>
      <c r="E118" s="245">
        <f>+'PRESUPUESTO P'!E124</f>
        <v>156</v>
      </c>
      <c r="F118" s="245">
        <f t="shared" si="9"/>
        <v>0</v>
      </c>
    </row>
    <row r="119" spans="1:6" x14ac:dyDescent="0.25">
      <c r="A119" s="200" t="s">
        <v>215</v>
      </c>
      <c r="B119" s="201" t="str">
        <f t="shared" si="10"/>
        <v>Placa Riesgo Eléctrico y señalización</v>
      </c>
      <c r="C119" s="244" t="str">
        <f t="shared" si="7"/>
        <v>ud</v>
      </c>
      <c r="D119" s="245">
        <f t="shared" si="8"/>
        <v>0</v>
      </c>
      <c r="E119" s="245">
        <f>+'PRESUPUESTO P'!E125</f>
        <v>20</v>
      </c>
      <c r="F119" s="245">
        <f t="shared" si="9"/>
        <v>0</v>
      </c>
    </row>
    <row r="120" spans="1:6" ht="25.5" x14ac:dyDescent="0.25">
      <c r="A120" s="200" t="s">
        <v>216</v>
      </c>
      <c r="B120" s="201" t="str">
        <f t="shared" si="10"/>
        <v>Amortiguador separador conductor tipo LA280 cctos 30 kV</v>
      </c>
      <c r="C120" s="244" t="str">
        <f t="shared" si="10"/>
        <v>ud</v>
      </c>
      <c r="D120" s="245">
        <f t="shared" si="8"/>
        <v>0</v>
      </c>
      <c r="E120" s="245">
        <f>+'PRESUPUESTO P'!E126</f>
        <v>16.799999999999997</v>
      </c>
      <c r="F120" s="245">
        <f t="shared" si="9"/>
        <v>0</v>
      </c>
    </row>
    <row r="121" spans="1:6" ht="25.5" x14ac:dyDescent="0.25">
      <c r="A121" s="200" t="s">
        <v>220</v>
      </c>
      <c r="B121" s="201" t="str">
        <f>+B83</f>
        <v>Amortiguador separador conducto tipo LA280 cctos 220 kV</v>
      </c>
      <c r="C121" s="244" t="str">
        <f t="shared" si="10"/>
        <v>ud</v>
      </c>
      <c r="D121" s="245">
        <f t="shared" si="8"/>
        <v>0</v>
      </c>
      <c r="E121" s="245">
        <f>+'PRESUPUESTO P'!E127</f>
        <v>16.799999999999997</v>
      </c>
      <c r="F121" s="245">
        <f t="shared" si="9"/>
        <v>0</v>
      </c>
    </row>
    <row r="122" spans="1:6" ht="25.5" x14ac:dyDescent="0.25">
      <c r="A122" s="200" t="s">
        <v>551</v>
      </c>
      <c r="B122" s="201" t="str">
        <f t="shared" ref="B122:C128" si="11">+B84</f>
        <v>Amortiguador separador conductor tipo LA510 cctos 220 kV</v>
      </c>
      <c r="C122" s="244" t="str">
        <f t="shared" ref="C122:C124" si="12">+C86</f>
        <v>ud</v>
      </c>
      <c r="D122" s="245">
        <f t="shared" si="8"/>
        <v>0</v>
      </c>
      <c r="E122" s="245">
        <f>+'PRESUPUESTO P'!E128</f>
        <v>35.28</v>
      </c>
      <c r="F122" s="245">
        <f t="shared" si="9"/>
        <v>0</v>
      </c>
    </row>
    <row r="123" spans="1:6" x14ac:dyDescent="0.25">
      <c r="A123" s="200" t="s">
        <v>552</v>
      </c>
      <c r="B123" s="201" t="str">
        <f>+B85</f>
        <v>Amortiguador OPGW ccto 30 kV</v>
      </c>
      <c r="C123" s="244" t="str">
        <f t="shared" si="12"/>
        <v>ud</v>
      </c>
      <c r="D123" s="245">
        <f t="shared" si="8"/>
        <v>0</v>
      </c>
      <c r="E123" s="245">
        <f>+'PRESUPUESTO P'!E129</f>
        <v>16.799999999999997</v>
      </c>
      <c r="F123" s="245">
        <f t="shared" si="9"/>
        <v>0</v>
      </c>
    </row>
    <row r="124" spans="1:6" x14ac:dyDescent="0.25">
      <c r="A124" s="200" t="s">
        <v>553</v>
      </c>
      <c r="B124" s="201" t="str">
        <f t="shared" si="11"/>
        <v>Amortiguador OPGW ccto 220 kV</v>
      </c>
      <c r="C124" s="244" t="str">
        <f t="shared" si="12"/>
        <v>ud</v>
      </c>
      <c r="D124" s="245">
        <f t="shared" si="8"/>
        <v>0</v>
      </c>
      <c r="E124" s="245">
        <f>+'PRESUPUESTO P'!E130</f>
        <v>16.799999999999997</v>
      </c>
      <c r="F124" s="245">
        <f t="shared" si="9"/>
        <v>0</v>
      </c>
    </row>
    <row r="125" spans="1:6" x14ac:dyDescent="0.25">
      <c r="A125" s="200" t="s">
        <v>554</v>
      </c>
      <c r="B125" s="201" t="str">
        <f t="shared" si="11"/>
        <v>Salvapájaros OPGW ccto 30 kV</v>
      </c>
      <c r="C125" s="244" t="str">
        <f t="shared" si="11"/>
        <v>ud</v>
      </c>
      <c r="D125" s="245">
        <f t="shared" si="8"/>
        <v>0</v>
      </c>
      <c r="E125" s="245">
        <f>+'PRESUPUESTO P'!E131</f>
        <v>15.399999999999999</v>
      </c>
      <c r="F125" s="245">
        <f t="shared" si="9"/>
        <v>0</v>
      </c>
    </row>
    <row r="126" spans="1:6" x14ac:dyDescent="0.25">
      <c r="A126" s="200" t="s">
        <v>557</v>
      </c>
      <c r="B126" s="201" t="str">
        <f t="shared" si="11"/>
        <v>Salvapájaros OPGW ccto 220 kV</v>
      </c>
      <c r="C126" s="244" t="str">
        <f t="shared" si="11"/>
        <v>ud</v>
      </c>
      <c r="D126" s="245">
        <f t="shared" si="8"/>
        <v>0</v>
      </c>
      <c r="E126" s="245">
        <f>+'PRESUPUESTO P'!E132</f>
        <v>15.399999999999999</v>
      </c>
      <c r="F126" s="245">
        <f t="shared" si="9"/>
        <v>0</v>
      </c>
    </row>
    <row r="127" spans="1:6" x14ac:dyDescent="0.25">
      <c r="A127" s="200" t="s">
        <v>558</v>
      </c>
      <c r="B127" s="201" t="str">
        <f>+B89</f>
        <v>PAT apoyo</v>
      </c>
      <c r="C127" s="244" t="str">
        <f t="shared" si="11"/>
        <v>ud</v>
      </c>
      <c r="D127" s="245">
        <f t="shared" si="8"/>
        <v>0</v>
      </c>
      <c r="E127" s="245">
        <f>+'PRESUPUESTO P'!E133</f>
        <v>300</v>
      </c>
      <c r="F127" s="245">
        <f t="shared" si="9"/>
        <v>0</v>
      </c>
    </row>
    <row r="128" spans="1:6" x14ac:dyDescent="0.25">
      <c r="A128" s="200" t="s">
        <v>561</v>
      </c>
      <c r="B128" s="201" t="str">
        <f>+B90</f>
        <v>Conexión FO</v>
      </c>
      <c r="C128" s="244" t="str">
        <f t="shared" si="11"/>
        <v>ud</v>
      </c>
      <c r="D128" s="245">
        <f t="shared" si="8"/>
        <v>0</v>
      </c>
      <c r="E128" s="245">
        <f>+'PRESUPUESTO P'!E134</f>
        <v>2000</v>
      </c>
      <c r="F128" s="245">
        <f t="shared" si="9"/>
        <v>0</v>
      </c>
    </row>
    <row r="129" spans="1:7" x14ac:dyDescent="0.25">
      <c r="A129" s="294" t="s">
        <v>79</v>
      </c>
      <c r="B129" s="294"/>
      <c r="C129" s="294"/>
      <c r="D129" s="294"/>
      <c r="E129" s="294"/>
      <c r="F129" s="248">
        <f>SUM(F95:F128)</f>
        <v>0</v>
      </c>
    </row>
    <row r="130" spans="1:7" x14ac:dyDescent="0.25">
      <c r="A130" s="299"/>
      <c r="B130" s="299"/>
      <c r="C130" s="299"/>
      <c r="D130" s="299"/>
      <c r="E130" s="299"/>
      <c r="F130" s="299"/>
    </row>
    <row r="131" spans="1:7" x14ac:dyDescent="0.25">
      <c r="A131" s="300" t="s">
        <v>227</v>
      </c>
      <c r="B131" s="300"/>
      <c r="C131" s="300"/>
      <c r="D131" s="300"/>
      <c r="E131" s="300"/>
      <c r="F131" s="300"/>
    </row>
    <row r="132" spans="1:7" x14ac:dyDescent="0.25">
      <c r="A132" s="242" t="s">
        <v>124</v>
      </c>
      <c r="B132" s="242" t="s">
        <v>0</v>
      </c>
      <c r="C132" s="36" t="s">
        <v>1</v>
      </c>
      <c r="D132" s="36" t="s">
        <v>2</v>
      </c>
      <c r="E132" s="36" t="s">
        <v>74</v>
      </c>
      <c r="F132" s="36" t="s">
        <v>3</v>
      </c>
    </row>
    <row r="133" spans="1:7" ht="38.25" x14ac:dyDescent="0.25">
      <c r="A133" s="200" t="s">
        <v>223</v>
      </c>
      <c r="B133" s="201" t="s">
        <v>563</v>
      </c>
      <c r="C133" s="244" t="s">
        <v>7</v>
      </c>
      <c r="D133" s="245">
        <f>+'PRESUPUESTO P'!J139</f>
        <v>0</v>
      </c>
      <c r="E133" s="245">
        <f>+'PRESUPUESTO P'!E139</f>
        <v>99</v>
      </c>
      <c r="F133" s="245">
        <f>D133*E133</f>
        <v>0</v>
      </c>
    </row>
    <row r="134" spans="1:7" ht="102" x14ac:dyDescent="0.25">
      <c r="A134" s="200" t="s">
        <v>224</v>
      </c>
      <c r="B134" s="201" t="s">
        <v>222</v>
      </c>
      <c r="C134" s="244" t="s">
        <v>7</v>
      </c>
      <c r="D134" s="245">
        <f>+'PRESUPUESTO P'!J140</f>
        <v>0</v>
      </c>
      <c r="E134" s="245">
        <f>+'PRESUPUESTO P'!E140</f>
        <v>102</v>
      </c>
      <c r="F134" s="245">
        <f t="shared" ref="F134:F135" si="13">D134*E134</f>
        <v>0</v>
      </c>
    </row>
    <row r="135" spans="1:7" ht="51" x14ac:dyDescent="0.25">
      <c r="A135" s="200" t="s">
        <v>225</v>
      </c>
      <c r="B135" s="201" t="s">
        <v>226</v>
      </c>
      <c r="C135" s="244" t="s">
        <v>1</v>
      </c>
      <c r="D135" s="245">
        <f>+'PRESUPUESTO P'!J141</f>
        <v>0</v>
      </c>
      <c r="E135" s="245">
        <f>+'PRESUPUESTO P'!E141</f>
        <v>200</v>
      </c>
      <c r="F135" s="245">
        <f t="shared" si="13"/>
        <v>0</v>
      </c>
    </row>
    <row r="136" spans="1:7" x14ac:dyDescent="0.25">
      <c r="A136" s="294" t="s">
        <v>80</v>
      </c>
      <c r="B136" s="294"/>
      <c r="C136" s="294"/>
      <c r="D136" s="294"/>
      <c r="E136" s="294"/>
      <c r="F136" s="248">
        <f>SUM(F133:F135)</f>
        <v>0</v>
      </c>
    </row>
    <row r="137" spans="1:7" x14ac:dyDescent="0.25">
      <c r="A137" s="294" t="s">
        <v>235</v>
      </c>
      <c r="B137" s="294"/>
      <c r="C137" s="294"/>
      <c r="D137" s="294"/>
      <c r="E137" s="294"/>
      <c r="F137" s="248">
        <f>+F136+F129+F91</f>
        <v>0</v>
      </c>
    </row>
    <row r="138" spans="1:7" x14ac:dyDescent="0.25">
      <c r="A138" s="299"/>
      <c r="B138" s="299"/>
      <c r="C138" s="299"/>
      <c r="D138" s="299"/>
      <c r="E138" s="299"/>
      <c r="F138" s="299"/>
    </row>
    <row r="139" spans="1:7" x14ac:dyDescent="0.25">
      <c r="A139" s="298" t="s">
        <v>81</v>
      </c>
      <c r="B139" s="298"/>
      <c r="C139" s="298"/>
      <c r="D139" s="298"/>
      <c r="E139" s="298"/>
      <c r="F139" s="298"/>
    </row>
    <row r="140" spans="1:7" x14ac:dyDescent="0.25">
      <c r="A140" s="242" t="s">
        <v>124</v>
      </c>
      <c r="B140" s="242" t="s">
        <v>0</v>
      </c>
      <c r="C140" s="36" t="s">
        <v>1</v>
      </c>
      <c r="D140" s="36" t="s">
        <v>2</v>
      </c>
      <c r="E140" s="36" t="s">
        <v>74</v>
      </c>
      <c r="F140" s="36" t="s">
        <v>3</v>
      </c>
      <c r="G140" s="250"/>
    </row>
    <row r="141" spans="1:7" x14ac:dyDescent="0.25">
      <c r="A141" s="200" t="s">
        <v>236</v>
      </c>
      <c r="B141" s="200" t="s">
        <v>63</v>
      </c>
      <c r="C141" s="251" t="s">
        <v>6</v>
      </c>
      <c r="D141" s="245">
        <v>1</v>
      </c>
      <c r="E141" s="245" t="e">
        <f>+'PRESUPUESTO P'!J147</f>
        <v>#REF!</v>
      </c>
      <c r="F141" s="245" t="e">
        <f>D141*E141</f>
        <v>#REF!</v>
      </c>
      <c r="G141" s="250"/>
    </row>
    <row r="142" spans="1:7" x14ac:dyDescent="0.25">
      <c r="A142" s="301" t="s">
        <v>543</v>
      </c>
      <c r="B142" s="302"/>
      <c r="C142" s="302"/>
      <c r="D142" s="302"/>
      <c r="E142" s="303"/>
      <c r="F142" s="248" t="e">
        <f>+F141</f>
        <v>#REF!</v>
      </c>
    </row>
    <row r="143" spans="1:7" x14ac:dyDescent="0.25">
      <c r="A143" s="295"/>
      <c r="B143" s="296"/>
      <c r="C143" s="296"/>
      <c r="D143" s="296"/>
      <c r="E143" s="296"/>
      <c r="F143" s="297"/>
    </row>
    <row r="144" spans="1:7" x14ac:dyDescent="0.25">
      <c r="A144" s="298" t="s">
        <v>82</v>
      </c>
      <c r="B144" s="298"/>
      <c r="C144" s="298"/>
      <c r="D144" s="298"/>
      <c r="E144" s="298"/>
      <c r="F144" s="298"/>
    </row>
    <row r="145" spans="1:7" x14ac:dyDescent="0.25">
      <c r="A145" s="242" t="s">
        <v>124</v>
      </c>
      <c r="B145" s="242" t="s">
        <v>0</v>
      </c>
      <c r="C145" s="36" t="s">
        <v>1</v>
      </c>
      <c r="D145" s="36" t="s">
        <v>2</v>
      </c>
      <c r="E145" s="36" t="s">
        <v>74</v>
      </c>
      <c r="F145" s="36" t="s">
        <v>3</v>
      </c>
      <c r="G145" s="250"/>
    </row>
    <row r="146" spans="1:7" x14ac:dyDescent="0.25">
      <c r="A146" s="200" t="s">
        <v>237</v>
      </c>
      <c r="B146" s="200" t="s">
        <v>83</v>
      </c>
      <c r="C146" s="251" t="s">
        <v>6</v>
      </c>
      <c r="D146" s="245">
        <v>1</v>
      </c>
      <c r="E146" s="245" t="e">
        <f>+'PRESUPUESTO P'!J152</f>
        <v>#REF!</v>
      </c>
      <c r="F146" s="245" t="e">
        <f>D146*E146</f>
        <v>#REF!</v>
      </c>
      <c r="G146" s="250"/>
    </row>
    <row r="147" spans="1:7" x14ac:dyDescent="0.25">
      <c r="A147" s="294" t="s">
        <v>544</v>
      </c>
      <c r="B147" s="294"/>
      <c r="C147" s="294"/>
      <c r="D147" s="294"/>
      <c r="E147" s="294"/>
      <c r="F147" s="248" t="e">
        <f>+F146</f>
        <v>#REF!</v>
      </c>
    </row>
    <row r="148" spans="1:7" x14ac:dyDescent="0.25">
      <c r="A148" s="294" t="s">
        <v>238</v>
      </c>
      <c r="B148" s="294"/>
      <c r="C148" s="294"/>
      <c r="D148" s="294"/>
      <c r="E148" s="294"/>
      <c r="F148" s="248" t="e">
        <f>+F147+F142+F137+F52</f>
        <v>#REF!</v>
      </c>
    </row>
    <row r="150" spans="1:7" x14ac:dyDescent="0.25">
      <c r="B150" s="254" t="str">
        <f>+A2</f>
        <v>CAPÍTULO 1. LÍNEA SUBTERRÁNEA</v>
      </c>
      <c r="C150" s="196" t="s">
        <v>3</v>
      </c>
    </row>
    <row r="151" spans="1:7" ht="30" x14ac:dyDescent="0.25">
      <c r="B151" s="255" t="str">
        <f>+A3</f>
        <v>CAPÍTULO 1.1 MATERIALES  LÍNEA SUBTERRÁNEA</v>
      </c>
      <c r="C151" s="207">
        <f>+F21</f>
        <v>0</v>
      </c>
    </row>
    <row r="152" spans="1:7" ht="30" x14ac:dyDescent="0.25">
      <c r="B152" s="255" t="str">
        <f>+A23</f>
        <v>CAPÍTULO 1.2. MONTAJE  LÍNEA SUBTERRÁNEA</v>
      </c>
      <c r="C152" s="207">
        <f>+F41</f>
        <v>0</v>
      </c>
    </row>
    <row r="153" spans="1:7" ht="30" x14ac:dyDescent="0.25">
      <c r="B153" s="255" t="str">
        <f>+A43</f>
        <v>CAPÍTULO 1.3. OBRA CIVIL LÍNEA SUBTERRÁNEA</v>
      </c>
      <c r="C153" s="207">
        <f>+F51</f>
        <v>0</v>
      </c>
    </row>
    <row r="154" spans="1:7" ht="30" x14ac:dyDescent="0.25">
      <c r="B154" s="256" t="str">
        <f>+A52</f>
        <v>TOTAL CAPÍTULO 1.- LINEA SUBTERRÁNEA</v>
      </c>
      <c r="C154" s="257">
        <f>+C151+C152+C153</f>
        <v>0</v>
      </c>
      <c r="D154" s="246"/>
    </row>
    <row r="155" spans="1:7" x14ac:dyDescent="0.25">
      <c r="B155" s="254" t="str">
        <f>+A54</f>
        <v>CAPÍTULO 2. LÍNEA AÉREA</v>
      </c>
      <c r="C155" s="196" t="s">
        <v>3</v>
      </c>
    </row>
    <row r="156" spans="1:7" ht="30" x14ac:dyDescent="0.25">
      <c r="B156" s="255" t="str">
        <f>+A55</f>
        <v>CAPÍTULO 2.1 MATERIALES  LÍNEA AÉREA</v>
      </c>
      <c r="C156" s="207">
        <f>+F91</f>
        <v>0</v>
      </c>
    </row>
    <row r="157" spans="1:7" ht="30" x14ac:dyDescent="0.25">
      <c r="B157" s="255" t="str">
        <f>+A93</f>
        <v>CAPÍTULO 2.2 MONTAJE  LÍNEA AÉREA</v>
      </c>
      <c r="C157" s="207">
        <f>+F129</f>
        <v>0</v>
      </c>
    </row>
    <row r="158" spans="1:7" ht="30" x14ac:dyDescent="0.25">
      <c r="B158" s="255" t="str">
        <f>+A131</f>
        <v>CAPÍTULO 2.3 OBRA CIVIL LÍNEA AÉREA</v>
      </c>
      <c r="C158" s="207">
        <f>+F136</f>
        <v>0</v>
      </c>
    </row>
    <row r="159" spans="1:7" x14ac:dyDescent="0.25">
      <c r="B159" s="259" t="str">
        <f>+A137</f>
        <v>TOTAL CAPÍTULO 2.- LÍNEA AÉREA</v>
      </c>
      <c r="C159" s="257">
        <f>+C156+C157+C158</f>
        <v>0</v>
      </c>
      <c r="D159" s="246"/>
    </row>
    <row r="160" spans="1:7" ht="30" x14ac:dyDescent="0.25">
      <c r="B160" s="255" t="str">
        <f>+A139</f>
        <v>CAPÍTULO 3. ESTUDIO DE GESTIÓN DE RESIDUOS</v>
      </c>
      <c r="C160" s="207" t="e">
        <f>+F142</f>
        <v>#REF!</v>
      </c>
    </row>
    <row r="161" spans="2:4" ht="30" x14ac:dyDescent="0.25">
      <c r="B161" s="259" t="str">
        <f>+A142</f>
        <v>TOTAL CAPÍTULO 3.-ESTUDIO DE GESTIÓN DE RESIDUOS</v>
      </c>
      <c r="C161" s="208" t="e">
        <f>+C160</f>
        <v>#REF!</v>
      </c>
    </row>
    <row r="162" spans="2:4" ht="30" x14ac:dyDescent="0.25">
      <c r="B162" s="255" t="str">
        <f>+A144</f>
        <v>CAPÍTULO 4. ESTUDIO DE SEGURIDAD Y SALUD</v>
      </c>
      <c r="C162" s="207" t="e">
        <f>+F147</f>
        <v>#REF!</v>
      </c>
    </row>
    <row r="163" spans="2:4" ht="30" x14ac:dyDescent="0.25">
      <c r="B163" s="259" t="str">
        <f>+A147</f>
        <v>TOTAL CAPÍTULO 4.-ESTUDIO DE SEGURIDAD Y SALUD</v>
      </c>
      <c r="C163" s="208" t="e">
        <f>+C162</f>
        <v>#REF!</v>
      </c>
    </row>
    <row r="164" spans="2:4" ht="30" x14ac:dyDescent="0.25">
      <c r="B164" s="267" t="s">
        <v>71</v>
      </c>
      <c r="C164" s="268" t="e">
        <f>+C154+C159+C161+C163</f>
        <v>#REF!</v>
      </c>
      <c r="D164" s="246"/>
    </row>
    <row r="165" spans="2:4" x14ac:dyDescent="0.25">
      <c r="B165" s="262" t="s">
        <v>9</v>
      </c>
      <c r="C165" s="207" t="e">
        <f>+C164*0.21</f>
        <v>#REF!</v>
      </c>
    </row>
    <row r="166" spans="2:4" ht="30" x14ac:dyDescent="0.25">
      <c r="B166" s="261" t="s">
        <v>72</v>
      </c>
      <c r="C166" s="208" t="e">
        <f>+C164+C165</f>
        <v>#REF!</v>
      </c>
    </row>
  </sheetData>
  <mergeCells count="28">
    <mergeCell ref="A143:F143"/>
    <mergeCell ref="A144:F144"/>
    <mergeCell ref="A147:E147"/>
    <mergeCell ref="A148:E148"/>
    <mergeCell ref="A131:F131"/>
    <mergeCell ref="A136:E136"/>
    <mergeCell ref="A137:E137"/>
    <mergeCell ref="A138:F138"/>
    <mergeCell ref="A139:F139"/>
    <mergeCell ref="A142:E142"/>
    <mergeCell ref="A130:F130"/>
    <mergeCell ref="A42:F42"/>
    <mergeCell ref="A43:F43"/>
    <mergeCell ref="A51:E51"/>
    <mergeCell ref="A52:E52"/>
    <mergeCell ref="A53:F53"/>
    <mergeCell ref="A54:F54"/>
    <mergeCell ref="A55:F55"/>
    <mergeCell ref="A91:E91"/>
    <mergeCell ref="A92:F92"/>
    <mergeCell ref="A93:F93"/>
    <mergeCell ref="A129:E129"/>
    <mergeCell ref="A41:E41"/>
    <mergeCell ref="A2:F2"/>
    <mergeCell ref="A3:F3"/>
    <mergeCell ref="A21:E21"/>
    <mergeCell ref="A22:F22"/>
    <mergeCell ref="A23:F23"/>
  </mergeCells>
  <conditionalFormatting sqref="C154 C159:C166">
    <cfRule type="cellIs" dxfId="11" priority="16" operator="equal">
      <formula>0</formula>
    </cfRule>
  </conditionalFormatting>
  <conditionalFormatting sqref="D154 D159">
    <cfRule type="cellIs" dxfId="10" priority="8" operator="notEqual">
      <formula>0</formula>
    </cfRule>
  </conditionalFormatting>
  <conditionalFormatting sqref="D164">
    <cfRule type="cellIs" dxfId="9" priority="7" operator="notEqual">
      <formula>0</formula>
    </cfRule>
  </conditionalFormatting>
  <conditionalFormatting sqref="D5:E20">
    <cfRule type="cellIs" dxfId="8" priority="6" operator="equal">
      <formula>0</formula>
    </cfRule>
  </conditionalFormatting>
  <conditionalFormatting sqref="D25:E40">
    <cfRule type="cellIs" dxfId="7" priority="5" operator="equal">
      <formula>0</formula>
    </cfRule>
  </conditionalFormatting>
  <conditionalFormatting sqref="D45:E50">
    <cfRule type="cellIs" dxfId="6" priority="4" operator="equal">
      <formula>0</formula>
    </cfRule>
  </conditionalFormatting>
  <conditionalFormatting sqref="D57:E90">
    <cfRule type="cellIs" dxfId="5" priority="3" operator="equal">
      <formula>0</formula>
    </cfRule>
  </conditionalFormatting>
  <conditionalFormatting sqref="D95:E128">
    <cfRule type="cellIs" dxfId="4" priority="2" operator="equal">
      <formula>0</formula>
    </cfRule>
  </conditionalFormatting>
  <conditionalFormatting sqref="D133:E135">
    <cfRule type="cellIs" dxfId="3" priority="1" operator="equal">
      <formula>0</formula>
    </cfRule>
  </conditionalFormatting>
  <conditionalFormatting sqref="F5:F21">
    <cfRule type="cellIs" dxfId="2" priority="13" operator="equal">
      <formula>0</formula>
    </cfRule>
  </conditionalFormatting>
  <conditionalFormatting sqref="F25:F41 F45:F52">
    <cfRule type="cellIs" dxfId="1" priority="14" operator="equal">
      <formula>0</formula>
    </cfRule>
  </conditionalFormatting>
  <conditionalFormatting sqref="F57:F91 F95:F129 F133:F137 D141:F141 F142 D146:E146 F146:F148">
    <cfRule type="cellIs" dxfId="0" priority="15" operator="equal">
      <formula>0</formula>
    </cfRule>
  </conditionalFormatting>
  <dataValidations count="1">
    <dataValidation allowBlank="1" showErrorMessage="1" sqref="B87:B90" xr:uid="{37C51EBF-F94F-45C5-82B9-E6C90002E487}"/>
  </dataValidation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9F79-321A-430A-A2AD-FB7F5E602EE0}">
  <sheetPr>
    <tabColor rgb="FFFFFF00"/>
  </sheetPr>
  <dimension ref="B1:L104"/>
  <sheetViews>
    <sheetView topLeftCell="A59" zoomScale="85" zoomScaleNormal="85" zoomScaleSheetLayoutView="100" workbookViewId="0">
      <selection activeCell="M92" sqref="M92"/>
    </sheetView>
  </sheetViews>
  <sheetFormatPr baseColWidth="10" defaultRowHeight="12.75" x14ac:dyDescent="0.2"/>
  <cols>
    <col min="1" max="1" width="3" style="38" customWidth="1"/>
    <col min="2" max="2" width="42.5703125" style="38" customWidth="1"/>
    <col min="3" max="3" width="26" style="38" bestFit="1" customWidth="1"/>
    <col min="4" max="4" width="6.7109375" style="38" customWidth="1"/>
    <col min="5" max="5" width="5.42578125" style="38" customWidth="1"/>
    <col min="6" max="6" width="3.42578125" style="38" customWidth="1"/>
    <col min="7" max="256" width="11.42578125" style="38"/>
    <col min="257" max="257" width="3" style="38" customWidth="1"/>
    <col min="258" max="258" width="42.5703125" style="38" customWidth="1"/>
    <col min="259" max="259" width="26" style="38" bestFit="1" customWidth="1"/>
    <col min="260" max="260" width="16.140625" style="38" customWidth="1"/>
    <col min="261" max="261" width="14.28515625" style="38" customWidth="1"/>
    <col min="262" max="262" width="3.42578125" style="38" customWidth="1"/>
    <col min="263" max="512" width="11.42578125" style="38"/>
    <col min="513" max="513" width="3" style="38" customWidth="1"/>
    <col min="514" max="514" width="42.5703125" style="38" customWidth="1"/>
    <col min="515" max="515" width="26" style="38" bestFit="1" customWidth="1"/>
    <col min="516" max="516" width="16.140625" style="38" customWidth="1"/>
    <col min="517" max="517" width="14.28515625" style="38" customWidth="1"/>
    <col min="518" max="518" width="3.42578125" style="38" customWidth="1"/>
    <col min="519" max="768" width="11.42578125" style="38"/>
    <col min="769" max="769" width="3" style="38" customWidth="1"/>
    <col min="770" max="770" width="42.5703125" style="38" customWidth="1"/>
    <col min="771" max="771" width="26" style="38" bestFit="1" customWidth="1"/>
    <col min="772" max="772" width="16.140625" style="38" customWidth="1"/>
    <col min="773" max="773" width="14.28515625" style="38" customWidth="1"/>
    <col min="774" max="774" width="3.42578125" style="38" customWidth="1"/>
    <col min="775" max="1024" width="11.42578125" style="38"/>
    <col min="1025" max="1025" width="3" style="38" customWidth="1"/>
    <col min="1026" max="1026" width="42.5703125" style="38" customWidth="1"/>
    <col min="1027" max="1027" width="26" style="38" bestFit="1" customWidth="1"/>
    <col min="1028" max="1028" width="16.140625" style="38" customWidth="1"/>
    <col min="1029" max="1029" width="14.28515625" style="38" customWidth="1"/>
    <col min="1030" max="1030" width="3.42578125" style="38" customWidth="1"/>
    <col min="1031" max="1280" width="11.42578125" style="38"/>
    <col min="1281" max="1281" width="3" style="38" customWidth="1"/>
    <col min="1282" max="1282" width="42.5703125" style="38" customWidth="1"/>
    <col min="1283" max="1283" width="26" style="38" bestFit="1" customWidth="1"/>
    <col min="1284" max="1284" width="16.140625" style="38" customWidth="1"/>
    <col min="1285" max="1285" width="14.28515625" style="38" customWidth="1"/>
    <col min="1286" max="1286" width="3.42578125" style="38" customWidth="1"/>
    <col min="1287" max="1536" width="11.42578125" style="38"/>
    <col min="1537" max="1537" width="3" style="38" customWidth="1"/>
    <col min="1538" max="1538" width="42.5703125" style="38" customWidth="1"/>
    <col min="1539" max="1539" width="26" style="38" bestFit="1" customWidth="1"/>
    <col min="1540" max="1540" width="16.140625" style="38" customWidth="1"/>
    <col min="1541" max="1541" width="14.28515625" style="38" customWidth="1"/>
    <col min="1542" max="1542" width="3.42578125" style="38" customWidth="1"/>
    <col min="1543" max="1792" width="11.42578125" style="38"/>
    <col min="1793" max="1793" width="3" style="38" customWidth="1"/>
    <col min="1794" max="1794" width="42.5703125" style="38" customWidth="1"/>
    <col min="1795" max="1795" width="26" style="38" bestFit="1" customWidth="1"/>
    <col min="1796" max="1796" width="16.140625" style="38" customWidth="1"/>
    <col min="1797" max="1797" width="14.28515625" style="38" customWidth="1"/>
    <col min="1798" max="1798" width="3.42578125" style="38" customWidth="1"/>
    <col min="1799" max="2048" width="11.42578125" style="38"/>
    <col min="2049" max="2049" width="3" style="38" customWidth="1"/>
    <col min="2050" max="2050" width="42.5703125" style="38" customWidth="1"/>
    <col min="2051" max="2051" width="26" style="38" bestFit="1" customWidth="1"/>
    <col min="2052" max="2052" width="16.140625" style="38" customWidth="1"/>
    <col min="2053" max="2053" width="14.28515625" style="38" customWidth="1"/>
    <col min="2054" max="2054" width="3.42578125" style="38" customWidth="1"/>
    <col min="2055" max="2304" width="11.42578125" style="38"/>
    <col min="2305" max="2305" width="3" style="38" customWidth="1"/>
    <col min="2306" max="2306" width="42.5703125" style="38" customWidth="1"/>
    <col min="2307" max="2307" width="26" style="38" bestFit="1" customWidth="1"/>
    <col min="2308" max="2308" width="16.140625" style="38" customWidth="1"/>
    <col min="2309" max="2309" width="14.28515625" style="38" customWidth="1"/>
    <col min="2310" max="2310" width="3.42578125" style="38" customWidth="1"/>
    <col min="2311" max="2560" width="11.42578125" style="38"/>
    <col min="2561" max="2561" width="3" style="38" customWidth="1"/>
    <col min="2562" max="2562" width="42.5703125" style="38" customWidth="1"/>
    <col min="2563" max="2563" width="26" style="38" bestFit="1" customWidth="1"/>
    <col min="2564" max="2564" width="16.140625" style="38" customWidth="1"/>
    <col min="2565" max="2565" width="14.28515625" style="38" customWidth="1"/>
    <col min="2566" max="2566" width="3.42578125" style="38" customWidth="1"/>
    <col min="2567" max="2816" width="11.42578125" style="38"/>
    <col min="2817" max="2817" width="3" style="38" customWidth="1"/>
    <col min="2818" max="2818" width="42.5703125" style="38" customWidth="1"/>
    <col min="2819" max="2819" width="26" style="38" bestFit="1" customWidth="1"/>
    <col min="2820" max="2820" width="16.140625" style="38" customWidth="1"/>
    <col min="2821" max="2821" width="14.28515625" style="38" customWidth="1"/>
    <col min="2822" max="2822" width="3.42578125" style="38" customWidth="1"/>
    <col min="2823" max="3072" width="11.42578125" style="38"/>
    <col min="3073" max="3073" width="3" style="38" customWidth="1"/>
    <col min="3074" max="3074" width="42.5703125" style="38" customWidth="1"/>
    <col min="3075" max="3075" width="26" style="38" bestFit="1" customWidth="1"/>
    <col min="3076" max="3076" width="16.140625" style="38" customWidth="1"/>
    <col min="3077" max="3077" width="14.28515625" style="38" customWidth="1"/>
    <col min="3078" max="3078" width="3.42578125" style="38" customWidth="1"/>
    <col min="3079" max="3328" width="11.42578125" style="38"/>
    <col min="3329" max="3329" width="3" style="38" customWidth="1"/>
    <col min="3330" max="3330" width="42.5703125" style="38" customWidth="1"/>
    <col min="3331" max="3331" width="26" style="38" bestFit="1" customWidth="1"/>
    <col min="3332" max="3332" width="16.140625" style="38" customWidth="1"/>
    <col min="3333" max="3333" width="14.28515625" style="38" customWidth="1"/>
    <col min="3334" max="3334" width="3.42578125" style="38" customWidth="1"/>
    <col min="3335" max="3584" width="11.42578125" style="38"/>
    <col min="3585" max="3585" width="3" style="38" customWidth="1"/>
    <col min="3586" max="3586" width="42.5703125" style="38" customWidth="1"/>
    <col min="3587" max="3587" width="26" style="38" bestFit="1" customWidth="1"/>
    <col min="3588" max="3588" width="16.140625" style="38" customWidth="1"/>
    <col min="3589" max="3589" width="14.28515625" style="38" customWidth="1"/>
    <col min="3590" max="3590" width="3.42578125" style="38" customWidth="1"/>
    <col min="3591" max="3840" width="11.42578125" style="38"/>
    <col min="3841" max="3841" width="3" style="38" customWidth="1"/>
    <col min="3842" max="3842" width="42.5703125" style="38" customWidth="1"/>
    <col min="3843" max="3843" width="26" style="38" bestFit="1" customWidth="1"/>
    <col min="3844" max="3844" width="16.140625" style="38" customWidth="1"/>
    <col min="3845" max="3845" width="14.28515625" style="38" customWidth="1"/>
    <col min="3846" max="3846" width="3.42578125" style="38" customWidth="1"/>
    <col min="3847" max="4096" width="11.42578125" style="38"/>
    <col min="4097" max="4097" width="3" style="38" customWidth="1"/>
    <col min="4098" max="4098" width="42.5703125" style="38" customWidth="1"/>
    <col min="4099" max="4099" width="26" style="38" bestFit="1" customWidth="1"/>
    <col min="4100" max="4100" width="16.140625" style="38" customWidth="1"/>
    <col min="4101" max="4101" width="14.28515625" style="38" customWidth="1"/>
    <col min="4102" max="4102" width="3.42578125" style="38" customWidth="1"/>
    <col min="4103" max="4352" width="11.42578125" style="38"/>
    <col min="4353" max="4353" width="3" style="38" customWidth="1"/>
    <col min="4354" max="4354" width="42.5703125" style="38" customWidth="1"/>
    <col min="4355" max="4355" width="26" style="38" bestFit="1" customWidth="1"/>
    <col min="4356" max="4356" width="16.140625" style="38" customWidth="1"/>
    <col min="4357" max="4357" width="14.28515625" style="38" customWidth="1"/>
    <col min="4358" max="4358" width="3.42578125" style="38" customWidth="1"/>
    <col min="4359" max="4608" width="11.42578125" style="38"/>
    <col min="4609" max="4609" width="3" style="38" customWidth="1"/>
    <col min="4610" max="4610" width="42.5703125" style="38" customWidth="1"/>
    <col min="4611" max="4611" width="26" style="38" bestFit="1" customWidth="1"/>
    <col min="4612" max="4612" width="16.140625" style="38" customWidth="1"/>
    <col min="4613" max="4613" width="14.28515625" style="38" customWidth="1"/>
    <col min="4614" max="4614" width="3.42578125" style="38" customWidth="1"/>
    <col min="4615" max="4864" width="11.42578125" style="38"/>
    <col min="4865" max="4865" width="3" style="38" customWidth="1"/>
    <col min="4866" max="4866" width="42.5703125" style="38" customWidth="1"/>
    <col min="4867" max="4867" width="26" style="38" bestFit="1" customWidth="1"/>
    <col min="4868" max="4868" width="16.140625" style="38" customWidth="1"/>
    <col min="4869" max="4869" width="14.28515625" style="38" customWidth="1"/>
    <col min="4870" max="4870" width="3.42578125" style="38" customWidth="1"/>
    <col min="4871" max="5120" width="11.42578125" style="38"/>
    <col min="5121" max="5121" width="3" style="38" customWidth="1"/>
    <col min="5122" max="5122" width="42.5703125" style="38" customWidth="1"/>
    <col min="5123" max="5123" width="26" style="38" bestFit="1" customWidth="1"/>
    <col min="5124" max="5124" width="16.140625" style="38" customWidth="1"/>
    <col min="5125" max="5125" width="14.28515625" style="38" customWidth="1"/>
    <col min="5126" max="5126" width="3.42578125" style="38" customWidth="1"/>
    <col min="5127" max="5376" width="11.42578125" style="38"/>
    <col min="5377" max="5377" width="3" style="38" customWidth="1"/>
    <col min="5378" max="5378" width="42.5703125" style="38" customWidth="1"/>
    <col min="5379" max="5379" width="26" style="38" bestFit="1" customWidth="1"/>
    <col min="5380" max="5380" width="16.140625" style="38" customWidth="1"/>
    <col min="5381" max="5381" width="14.28515625" style="38" customWidth="1"/>
    <col min="5382" max="5382" width="3.42578125" style="38" customWidth="1"/>
    <col min="5383" max="5632" width="11.42578125" style="38"/>
    <col min="5633" max="5633" width="3" style="38" customWidth="1"/>
    <col min="5634" max="5634" width="42.5703125" style="38" customWidth="1"/>
    <col min="5635" max="5635" width="26" style="38" bestFit="1" customWidth="1"/>
    <col min="5636" max="5636" width="16.140625" style="38" customWidth="1"/>
    <col min="5637" max="5637" width="14.28515625" style="38" customWidth="1"/>
    <col min="5638" max="5638" width="3.42578125" style="38" customWidth="1"/>
    <col min="5639" max="5888" width="11.42578125" style="38"/>
    <col min="5889" max="5889" width="3" style="38" customWidth="1"/>
    <col min="5890" max="5890" width="42.5703125" style="38" customWidth="1"/>
    <col min="5891" max="5891" width="26" style="38" bestFit="1" customWidth="1"/>
    <col min="5892" max="5892" width="16.140625" style="38" customWidth="1"/>
    <col min="5893" max="5893" width="14.28515625" style="38" customWidth="1"/>
    <col min="5894" max="5894" width="3.42578125" style="38" customWidth="1"/>
    <col min="5895" max="6144" width="11.42578125" style="38"/>
    <col min="6145" max="6145" width="3" style="38" customWidth="1"/>
    <col min="6146" max="6146" width="42.5703125" style="38" customWidth="1"/>
    <col min="6147" max="6147" width="26" style="38" bestFit="1" customWidth="1"/>
    <col min="6148" max="6148" width="16.140625" style="38" customWidth="1"/>
    <col min="6149" max="6149" width="14.28515625" style="38" customWidth="1"/>
    <col min="6150" max="6150" width="3.42578125" style="38" customWidth="1"/>
    <col min="6151" max="6400" width="11.42578125" style="38"/>
    <col min="6401" max="6401" width="3" style="38" customWidth="1"/>
    <col min="6402" max="6402" width="42.5703125" style="38" customWidth="1"/>
    <col min="6403" max="6403" width="26" style="38" bestFit="1" customWidth="1"/>
    <col min="6404" max="6404" width="16.140625" style="38" customWidth="1"/>
    <col min="6405" max="6405" width="14.28515625" style="38" customWidth="1"/>
    <col min="6406" max="6406" width="3.42578125" style="38" customWidth="1"/>
    <col min="6407" max="6656" width="11.42578125" style="38"/>
    <col min="6657" max="6657" width="3" style="38" customWidth="1"/>
    <col min="6658" max="6658" width="42.5703125" style="38" customWidth="1"/>
    <col min="6659" max="6659" width="26" style="38" bestFit="1" customWidth="1"/>
    <col min="6660" max="6660" width="16.140625" style="38" customWidth="1"/>
    <col min="6661" max="6661" width="14.28515625" style="38" customWidth="1"/>
    <col min="6662" max="6662" width="3.42578125" style="38" customWidth="1"/>
    <col min="6663" max="6912" width="11.42578125" style="38"/>
    <col min="6913" max="6913" width="3" style="38" customWidth="1"/>
    <col min="6914" max="6914" width="42.5703125" style="38" customWidth="1"/>
    <col min="6915" max="6915" width="26" style="38" bestFit="1" customWidth="1"/>
    <col min="6916" max="6916" width="16.140625" style="38" customWidth="1"/>
    <col min="6917" max="6917" width="14.28515625" style="38" customWidth="1"/>
    <col min="6918" max="6918" width="3.42578125" style="38" customWidth="1"/>
    <col min="6919" max="7168" width="11.42578125" style="38"/>
    <col min="7169" max="7169" width="3" style="38" customWidth="1"/>
    <col min="7170" max="7170" width="42.5703125" style="38" customWidth="1"/>
    <col min="7171" max="7171" width="26" style="38" bestFit="1" customWidth="1"/>
    <col min="7172" max="7172" width="16.140625" style="38" customWidth="1"/>
    <col min="7173" max="7173" width="14.28515625" style="38" customWidth="1"/>
    <col min="7174" max="7174" width="3.42578125" style="38" customWidth="1"/>
    <col min="7175" max="7424" width="11.42578125" style="38"/>
    <col min="7425" max="7425" width="3" style="38" customWidth="1"/>
    <col min="7426" max="7426" width="42.5703125" style="38" customWidth="1"/>
    <col min="7427" max="7427" width="26" style="38" bestFit="1" customWidth="1"/>
    <col min="7428" max="7428" width="16.140625" style="38" customWidth="1"/>
    <col min="7429" max="7429" width="14.28515625" style="38" customWidth="1"/>
    <col min="7430" max="7430" width="3.42578125" style="38" customWidth="1"/>
    <col min="7431" max="7680" width="11.42578125" style="38"/>
    <col min="7681" max="7681" width="3" style="38" customWidth="1"/>
    <col min="7682" max="7682" width="42.5703125" style="38" customWidth="1"/>
    <col min="7683" max="7683" width="26" style="38" bestFit="1" customWidth="1"/>
    <col min="7684" max="7684" width="16.140625" style="38" customWidth="1"/>
    <col min="7685" max="7685" width="14.28515625" style="38" customWidth="1"/>
    <col min="7686" max="7686" width="3.42578125" style="38" customWidth="1"/>
    <col min="7687" max="7936" width="11.42578125" style="38"/>
    <col min="7937" max="7937" width="3" style="38" customWidth="1"/>
    <col min="7938" max="7938" width="42.5703125" style="38" customWidth="1"/>
    <col min="7939" max="7939" width="26" style="38" bestFit="1" customWidth="1"/>
    <col min="7940" max="7940" width="16.140625" style="38" customWidth="1"/>
    <col min="7941" max="7941" width="14.28515625" style="38" customWidth="1"/>
    <col min="7942" max="7942" width="3.42578125" style="38" customWidth="1"/>
    <col min="7943" max="8192" width="11.42578125" style="38"/>
    <col min="8193" max="8193" width="3" style="38" customWidth="1"/>
    <col min="8194" max="8194" width="42.5703125" style="38" customWidth="1"/>
    <col min="8195" max="8195" width="26" style="38" bestFit="1" customWidth="1"/>
    <col min="8196" max="8196" width="16.140625" style="38" customWidth="1"/>
    <col min="8197" max="8197" width="14.28515625" style="38" customWidth="1"/>
    <col min="8198" max="8198" width="3.42578125" style="38" customWidth="1"/>
    <col min="8199" max="8448" width="11.42578125" style="38"/>
    <col min="8449" max="8449" width="3" style="38" customWidth="1"/>
    <col min="8450" max="8450" width="42.5703125" style="38" customWidth="1"/>
    <col min="8451" max="8451" width="26" style="38" bestFit="1" customWidth="1"/>
    <col min="8452" max="8452" width="16.140625" style="38" customWidth="1"/>
    <col min="8453" max="8453" width="14.28515625" style="38" customWidth="1"/>
    <col min="8454" max="8454" width="3.42578125" style="38" customWidth="1"/>
    <col min="8455" max="8704" width="11.42578125" style="38"/>
    <col min="8705" max="8705" width="3" style="38" customWidth="1"/>
    <col min="8706" max="8706" width="42.5703125" style="38" customWidth="1"/>
    <col min="8707" max="8707" width="26" style="38" bestFit="1" customWidth="1"/>
    <col min="8708" max="8708" width="16.140625" style="38" customWidth="1"/>
    <col min="8709" max="8709" width="14.28515625" style="38" customWidth="1"/>
    <col min="8710" max="8710" width="3.42578125" style="38" customWidth="1"/>
    <col min="8711" max="8960" width="11.42578125" style="38"/>
    <col min="8961" max="8961" width="3" style="38" customWidth="1"/>
    <col min="8962" max="8962" width="42.5703125" style="38" customWidth="1"/>
    <col min="8963" max="8963" width="26" style="38" bestFit="1" customWidth="1"/>
    <col min="8964" max="8964" width="16.140625" style="38" customWidth="1"/>
    <col min="8965" max="8965" width="14.28515625" style="38" customWidth="1"/>
    <col min="8966" max="8966" width="3.42578125" style="38" customWidth="1"/>
    <col min="8967" max="9216" width="11.42578125" style="38"/>
    <col min="9217" max="9217" width="3" style="38" customWidth="1"/>
    <col min="9218" max="9218" width="42.5703125" style="38" customWidth="1"/>
    <col min="9219" max="9219" width="26" style="38" bestFit="1" customWidth="1"/>
    <col min="9220" max="9220" width="16.140625" style="38" customWidth="1"/>
    <col min="9221" max="9221" width="14.28515625" style="38" customWidth="1"/>
    <col min="9222" max="9222" width="3.42578125" style="38" customWidth="1"/>
    <col min="9223" max="9472" width="11.42578125" style="38"/>
    <col min="9473" max="9473" width="3" style="38" customWidth="1"/>
    <col min="9474" max="9474" width="42.5703125" style="38" customWidth="1"/>
    <col min="9475" max="9475" width="26" style="38" bestFit="1" customWidth="1"/>
    <col min="9476" max="9476" width="16.140625" style="38" customWidth="1"/>
    <col min="9477" max="9477" width="14.28515625" style="38" customWidth="1"/>
    <col min="9478" max="9478" width="3.42578125" style="38" customWidth="1"/>
    <col min="9479" max="9728" width="11.42578125" style="38"/>
    <col min="9729" max="9729" width="3" style="38" customWidth="1"/>
    <col min="9730" max="9730" width="42.5703125" style="38" customWidth="1"/>
    <col min="9731" max="9731" width="26" style="38" bestFit="1" customWidth="1"/>
    <col min="9732" max="9732" width="16.140625" style="38" customWidth="1"/>
    <col min="9733" max="9733" width="14.28515625" style="38" customWidth="1"/>
    <col min="9734" max="9734" width="3.42578125" style="38" customWidth="1"/>
    <col min="9735" max="9984" width="11.42578125" style="38"/>
    <col min="9985" max="9985" width="3" style="38" customWidth="1"/>
    <col min="9986" max="9986" width="42.5703125" style="38" customWidth="1"/>
    <col min="9987" max="9987" width="26" style="38" bestFit="1" customWidth="1"/>
    <col min="9988" max="9988" width="16.140625" style="38" customWidth="1"/>
    <col min="9989" max="9989" width="14.28515625" style="38" customWidth="1"/>
    <col min="9990" max="9990" width="3.42578125" style="38" customWidth="1"/>
    <col min="9991" max="10240" width="11.42578125" style="38"/>
    <col min="10241" max="10241" width="3" style="38" customWidth="1"/>
    <col min="10242" max="10242" width="42.5703125" style="38" customWidth="1"/>
    <col min="10243" max="10243" width="26" style="38" bestFit="1" customWidth="1"/>
    <col min="10244" max="10244" width="16.140625" style="38" customWidth="1"/>
    <col min="10245" max="10245" width="14.28515625" style="38" customWidth="1"/>
    <col min="10246" max="10246" width="3.42578125" style="38" customWidth="1"/>
    <col min="10247" max="10496" width="11.42578125" style="38"/>
    <col min="10497" max="10497" width="3" style="38" customWidth="1"/>
    <col min="10498" max="10498" width="42.5703125" style="38" customWidth="1"/>
    <col min="10499" max="10499" width="26" style="38" bestFit="1" customWidth="1"/>
    <col min="10500" max="10500" width="16.140625" style="38" customWidth="1"/>
    <col min="10501" max="10501" width="14.28515625" style="38" customWidth="1"/>
    <col min="10502" max="10502" width="3.42578125" style="38" customWidth="1"/>
    <col min="10503" max="10752" width="11.42578125" style="38"/>
    <col min="10753" max="10753" width="3" style="38" customWidth="1"/>
    <col min="10754" max="10754" width="42.5703125" style="38" customWidth="1"/>
    <col min="10755" max="10755" width="26" style="38" bestFit="1" customWidth="1"/>
    <col min="10756" max="10756" width="16.140625" style="38" customWidth="1"/>
    <col min="10757" max="10757" width="14.28515625" style="38" customWidth="1"/>
    <col min="10758" max="10758" width="3.42578125" style="38" customWidth="1"/>
    <col min="10759" max="11008" width="11.42578125" style="38"/>
    <col min="11009" max="11009" width="3" style="38" customWidth="1"/>
    <col min="11010" max="11010" width="42.5703125" style="38" customWidth="1"/>
    <col min="11011" max="11011" width="26" style="38" bestFit="1" customWidth="1"/>
    <col min="11012" max="11012" width="16.140625" style="38" customWidth="1"/>
    <col min="11013" max="11013" width="14.28515625" style="38" customWidth="1"/>
    <col min="11014" max="11014" width="3.42578125" style="38" customWidth="1"/>
    <col min="11015" max="11264" width="11.42578125" style="38"/>
    <col min="11265" max="11265" width="3" style="38" customWidth="1"/>
    <col min="11266" max="11266" width="42.5703125" style="38" customWidth="1"/>
    <col min="11267" max="11267" width="26" style="38" bestFit="1" customWidth="1"/>
    <col min="11268" max="11268" width="16.140625" style="38" customWidth="1"/>
    <col min="11269" max="11269" width="14.28515625" style="38" customWidth="1"/>
    <col min="11270" max="11270" width="3.42578125" style="38" customWidth="1"/>
    <col min="11271" max="11520" width="11.42578125" style="38"/>
    <col min="11521" max="11521" width="3" style="38" customWidth="1"/>
    <col min="11522" max="11522" width="42.5703125" style="38" customWidth="1"/>
    <col min="11523" max="11523" width="26" style="38" bestFit="1" customWidth="1"/>
    <col min="11524" max="11524" width="16.140625" style="38" customWidth="1"/>
    <col min="11525" max="11525" width="14.28515625" style="38" customWidth="1"/>
    <col min="11526" max="11526" width="3.42578125" style="38" customWidth="1"/>
    <col min="11527" max="11776" width="11.42578125" style="38"/>
    <col min="11777" max="11777" width="3" style="38" customWidth="1"/>
    <col min="11778" max="11778" width="42.5703125" style="38" customWidth="1"/>
    <col min="11779" max="11779" width="26" style="38" bestFit="1" customWidth="1"/>
    <col min="11780" max="11780" width="16.140625" style="38" customWidth="1"/>
    <col min="11781" max="11781" width="14.28515625" style="38" customWidth="1"/>
    <col min="11782" max="11782" width="3.42578125" style="38" customWidth="1"/>
    <col min="11783" max="12032" width="11.42578125" style="38"/>
    <col min="12033" max="12033" width="3" style="38" customWidth="1"/>
    <col min="12034" max="12034" width="42.5703125" style="38" customWidth="1"/>
    <col min="12035" max="12035" width="26" style="38" bestFit="1" customWidth="1"/>
    <col min="12036" max="12036" width="16.140625" style="38" customWidth="1"/>
    <col min="12037" max="12037" width="14.28515625" style="38" customWidth="1"/>
    <col min="12038" max="12038" width="3.42578125" style="38" customWidth="1"/>
    <col min="12039" max="12288" width="11.42578125" style="38"/>
    <col min="12289" max="12289" width="3" style="38" customWidth="1"/>
    <col min="12290" max="12290" width="42.5703125" style="38" customWidth="1"/>
    <col min="12291" max="12291" width="26" style="38" bestFit="1" customWidth="1"/>
    <col min="12292" max="12292" width="16.140625" style="38" customWidth="1"/>
    <col min="12293" max="12293" width="14.28515625" style="38" customWidth="1"/>
    <col min="12294" max="12294" width="3.42578125" style="38" customWidth="1"/>
    <col min="12295" max="12544" width="11.42578125" style="38"/>
    <col min="12545" max="12545" width="3" style="38" customWidth="1"/>
    <col min="12546" max="12546" width="42.5703125" style="38" customWidth="1"/>
    <col min="12547" max="12547" width="26" style="38" bestFit="1" customWidth="1"/>
    <col min="12548" max="12548" width="16.140625" style="38" customWidth="1"/>
    <col min="12549" max="12549" width="14.28515625" style="38" customWidth="1"/>
    <col min="12550" max="12550" width="3.42578125" style="38" customWidth="1"/>
    <col min="12551" max="12800" width="11.42578125" style="38"/>
    <col min="12801" max="12801" width="3" style="38" customWidth="1"/>
    <col min="12802" max="12802" width="42.5703125" style="38" customWidth="1"/>
    <col min="12803" max="12803" width="26" style="38" bestFit="1" customWidth="1"/>
    <col min="12804" max="12804" width="16.140625" style="38" customWidth="1"/>
    <col min="12805" max="12805" width="14.28515625" style="38" customWidth="1"/>
    <col min="12806" max="12806" width="3.42578125" style="38" customWidth="1"/>
    <col min="12807" max="13056" width="11.42578125" style="38"/>
    <col min="13057" max="13057" width="3" style="38" customWidth="1"/>
    <col min="13058" max="13058" width="42.5703125" style="38" customWidth="1"/>
    <col min="13059" max="13059" width="26" style="38" bestFit="1" customWidth="1"/>
    <col min="13060" max="13060" width="16.140625" style="38" customWidth="1"/>
    <col min="13061" max="13061" width="14.28515625" style="38" customWidth="1"/>
    <col min="13062" max="13062" width="3.42578125" style="38" customWidth="1"/>
    <col min="13063" max="13312" width="11.42578125" style="38"/>
    <col min="13313" max="13313" width="3" style="38" customWidth="1"/>
    <col min="13314" max="13314" width="42.5703125" style="38" customWidth="1"/>
    <col min="13315" max="13315" width="26" style="38" bestFit="1" customWidth="1"/>
    <col min="13316" max="13316" width="16.140625" style="38" customWidth="1"/>
    <col min="13317" max="13317" width="14.28515625" style="38" customWidth="1"/>
    <col min="13318" max="13318" width="3.42578125" style="38" customWidth="1"/>
    <col min="13319" max="13568" width="11.42578125" style="38"/>
    <col min="13569" max="13569" width="3" style="38" customWidth="1"/>
    <col min="13570" max="13570" width="42.5703125" style="38" customWidth="1"/>
    <col min="13571" max="13571" width="26" style="38" bestFit="1" customWidth="1"/>
    <col min="13572" max="13572" width="16.140625" style="38" customWidth="1"/>
    <col min="13573" max="13573" width="14.28515625" style="38" customWidth="1"/>
    <col min="13574" max="13574" width="3.42578125" style="38" customWidth="1"/>
    <col min="13575" max="13824" width="11.42578125" style="38"/>
    <col min="13825" max="13825" width="3" style="38" customWidth="1"/>
    <col min="13826" max="13826" width="42.5703125" style="38" customWidth="1"/>
    <col min="13827" max="13827" width="26" style="38" bestFit="1" customWidth="1"/>
    <col min="13828" max="13828" width="16.140625" style="38" customWidth="1"/>
    <col min="13829" max="13829" width="14.28515625" style="38" customWidth="1"/>
    <col min="13830" max="13830" width="3.42578125" style="38" customWidth="1"/>
    <col min="13831" max="14080" width="11.42578125" style="38"/>
    <col min="14081" max="14081" width="3" style="38" customWidth="1"/>
    <col min="14082" max="14082" width="42.5703125" style="38" customWidth="1"/>
    <col min="14083" max="14083" width="26" style="38" bestFit="1" customWidth="1"/>
    <col min="14084" max="14084" width="16.140625" style="38" customWidth="1"/>
    <col min="14085" max="14085" width="14.28515625" style="38" customWidth="1"/>
    <col min="14086" max="14086" width="3.42578125" style="38" customWidth="1"/>
    <col min="14087" max="14336" width="11.42578125" style="38"/>
    <col min="14337" max="14337" width="3" style="38" customWidth="1"/>
    <col min="14338" max="14338" width="42.5703125" style="38" customWidth="1"/>
    <col min="14339" max="14339" width="26" style="38" bestFit="1" customWidth="1"/>
    <col min="14340" max="14340" width="16.140625" style="38" customWidth="1"/>
    <col min="14341" max="14341" width="14.28515625" style="38" customWidth="1"/>
    <col min="14342" max="14342" width="3.42578125" style="38" customWidth="1"/>
    <col min="14343" max="14592" width="11.42578125" style="38"/>
    <col min="14593" max="14593" width="3" style="38" customWidth="1"/>
    <col min="14594" max="14594" width="42.5703125" style="38" customWidth="1"/>
    <col min="14595" max="14595" width="26" style="38" bestFit="1" customWidth="1"/>
    <col min="14596" max="14596" width="16.140625" style="38" customWidth="1"/>
    <col min="14597" max="14597" width="14.28515625" style="38" customWidth="1"/>
    <col min="14598" max="14598" width="3.42578125" style="38" customWidth="1"/>
    <col min="14599" max="14848" width="11.42578125" style="38"/>
    <col min="14849" max="14849" width="3" style="38" customWidth="1"/>
    <col min="14850" max="14850" width="42.5703125" style="38" customWidth="1"/>
    <col min="14851" max="14851" width="26" style="38" bestFit="1" customWidth="1"/>
    <col min="14852" max="14852" width="16.140625" style="38" customWidth="1"/>
    <col min="14853" max="14853" width="14.28515625" style="38" customWidth="1"/>
    <col min="14854" max="14854" width="3.42578125" style="38" customWidth="1"/>
    <col min="14855" max="15104" width="11.42578125" style="38"/>
    <col min="15105" max="15105" width="3" style="38" customWidth="1"/>
    <col min="15106" max="15106" width="42.5703125" style="38" customWidth="1"/>
    <col min="15107" max="15107" width="26" style="38" bestFit="1" customWidth="1"/>
    <col min="15108" max="15108" width="16.140625" style="38" customWidth="1"/>
    <col min="15109" max="15109" width="14.28515625" style="38" customWidth="1"/>
    <col min="15110" max="15110" width="3.42578125" style="38" customWidth="1"/>
    <col min="15111" max="15360" width="11.42578125" style="38"/>
    <col min="15361" max="15361" width="3" style="38" customWidth="1"/>
    <col min="15362" max="15362" width="42.5703125" style="38" customWidth="1"/>
    <col min="15363" max="15363" width="26" style="38" bestFit="1" customWidth="1"/>
    <col min="15364" max="15364" width="16.140625" style="38" customWidth="1"/>
    <col min="15365" max="15365" width="14.28515625" style="38" customWidth="1"/>
    <col min="15366" max="15366" width="3.42578125" style="38" customWidth="1"/>
    <col min="15367" max="15616" width="11.42578125" style="38"/>
    <col min="15617" max="15617" width="3" style="38" customWidth="1"/>
    <col min="15618" max="15618" width="42.5703125" style="38" customWidth="1"/>
    <col min="15619" max="15619" width="26" style="38" bestFit="1" customWidth="1"/>
    <col min="15620" max="15620" width="16.140625" style="38" customWidth="1"/>
    <col min="15621" max="15621" width="14.28515625" style="38" customWidth="1"/>
    <col min="15622" max="15622" width="3.42578125" style="38" customWidth="1"/>
    <col min="15623" max="15872" width="11.42578125" style="38"/>
    <col min="15873" max="15873" width="3" style="38" customWidth="1"/>
    <col min="15874" max="15874" width="42.5703125" style="38" customWidth="1"/>
    <col min="15875" max="15875" width="26" style="38" bestFit="1" customWidth="1"/>
    <col min="15876" max="15876" width="16.140625" style="38" customWidth="1"/>
    <col min="15877" max="15877" width="14.28515625" style="38" customWidth="1"/>
    <col min="15878" max="15878" width="3.42578125" style="38" customWidth="1"/>
    <col min="15879" max="16128" width="11.42578125" style="38"/>
    <col min="16129" max="16129" width="3" style="38" customWidth="1"/>
    <col min="16130" max="16130" width="42.5703125" style="38" customWidth="1"/>
    <col min="16131" max="16131" width="26" style="38" bestFit="1" customWidth="1"/>
    <col min="16132" max="16132" width="16.140625" style="38" customWidth="1"/>
    <col min="16133" max="16133" width="14.28515625" style="38" customWidth="1"/>
    <col min="16134" max="16134" width="3.42578125" style="38" customWidth="1"/>
    <col min="16135" max="16384" width="11.42578125" style="38"/>
  </cols>
  <sheetData>
    <row r="1" spans="2:12" ht="13.5" thickBot="1" x14ac:dyDescent="0.25"/>
    <row r="2" spans="2:12" ht="13.5" thickBot="1" x14ac:dyDescent="0.25">
      <c r="B2" s="39" t="s">
        <v>239</v>
      </c>
      <c r="C2" s="40"/>
      <c r="D2" s="40"/>
      <c r="E2" s="41"/>
    </row>
    <row r="3" spans="2:12" ht="13.5" thickBot="1" x14ac:dyDescent="0.25"/>
    <row r="4" spans="2:12" ht="13.5" thickBot="1" x14ac:dyDescent="0.25">
      <c r="B4" s="42" t="s">
        <v>240</v>
      </c>
      <c r="C4" s="43" t="s">
        <v>241</v>
      </c>
      <c r="D4" s="44"/>
      <c r="E4" s="45"/>
      <c r="H4" s="304" t="s">
        <v>242</v>
      </c>
      <c r="I4" s="304"/>
      <c r="J4" s="304"/>
      <c r="K4" s="304"/>
      <c r="L4" s="304"/>
    </row>
    <row r="5" spans="2:12" ht="7.5" customHeight="1" x14ac:dyDescent="0.2">
      <c r="B5" s="46"/>
      <c r="E5" s="47"/>
      <c r="H5" s="304"/>
      <c r="I5" s="304"/>
      <c r="J5" s="304"/>
      <c r="K5" s="304"/>
      <c r="L5" s="304"/>
    </row>
    <row r="6" spans="2:12" x14ac:dyDescent="0.2">
      <c r="B6" s="48" t="s">
        <v>243</v>
      </c>
      <c r="C6" s="49">
        <v>0</v>
      </c>
      <c r="D6" s="50" t="s">
        <v>5</v>
      </c>
      <c r="E6" s="51"/>
      <c r="H6" s="304"/>
      <c r="I6" s="304"/>
      <c r="J6" s="304"/>
      <c r="K6" s="304"/>
      <c r="L6" s="304"/>
    </row>
    <row r="7" spans="2:12" x14ac:dyDescent="0.2">
      <c r="B7" s="48" t="s">
        <v>244</v>
      </c>
      <c r="C7" s="49">
        <v>0</v>
      </c>
      <c r="D7" s="50" t="s">
        <v>5</v>
      </c>
      <c r="E7" s="51"/>
      <c r="H7" s="304"/>
      <c r="I7" s="304"/>
      <c r="J7" s="304"/>
      <c r="K7" s="304"/>
      <c r="L7" s="304"/>
    </row>
    <row r="8" spans="2:12" x14ac:dyDescent="0.2">
      <c r="B8" s="48" t="s">
        <v>245</v>
      </c>
      <c r="C8" s="49">
        <v>0</v>
      </c>
      <c r="D8" s="50" t="s">
        <v>5</v>
      </c>
      <c r="E8" s="51"/>
      <c r="H8" s="304"/>
      <c r="I8" s="304"/>
      <c r="J8" s="304"/>
      <c r="K8" s="304"/>
      <c r="L8" s="304"/>
    </row>
    <row r="9" spans="2:12" x14ac:dyDescent="0.2">
      <c r="B9" s="48" t="s">
        <v>246</v>
      </c>
      <c r="C9" s="49">
        <f>C6*C7*C8</f>
        <v>0</v>
      </c>
      <c r="D9" s="50" t="s">
        <v>247</v>
      </c>
      <c r="E9" s="51"/>
      <c r="H9" s="304"/>
      <c r="I9" s="304"/>
      <c r="J9" s="304"/>
      <c r="K9" s="304"/>
      <c r="L9" s="304"/>
    </row>
    <row r="10" spans="2:12" x14ac:dyDescent="0.2">
      <c r="B10" s="48" t="s">
        <v>248</v>
      </c>
      <c r="C10" s="52">
        <f>0.2*C9</f>
        <v>0</v>
      </c>
      <c r="D10" s="50" t="s">
        <v>249</v>
      </c>
      <c r="E10" s="51"/>
      <c r="H10" s="304"/>
      <c r="I10" s="304"/>
      <c r="J10" s="304"/>
      <c r="K10" s="304"/>
      <c r="L10" s="304"/>
    </row>
    <row r="11" spans="2:12" x14ac:dyDescent="0.2">
      <c r="B11" s="53" t="s">
        <v>250</v>
      </c>
      <c r="C11" s="54">
        <f>0.9*C10</f>
        <v>0</v>
      </c>
      <c r="D11" s="55" t="s">
        <v>249</v>
      </c>
      <c r="E11" s="51"/>
      <c r="H11" s="304"/>
      <c r="I11" s="304"/>
      <c r="J11" s="304"/>
      <c r="K11" s="304"/>
      <c r="L11" s="304"/>
    </row>
    <row r="12" spans="2:12" x14ac:dyDescent="0.2">
      <c r="B12" s="53" t="s">
        <v>251</v>
      </c>
      <c r="C12" s="54">
        <f>0.1*C10</f>
        <v>0</v>
      </c>
      <c r="D12" s="55" t="s">
        <v>249</v>
      </c>
      <c r="E12" s="51"/>
      <c r="H12" s="304"/>
      <c r="I12" s="304"/>
      <c r="J12" s="304"/>
      <c r="K12" s="304"/>
      <c r="L12" s="304"/>
    </row>
    <row r="14" spans="2:12" ht="13.5" thickBot="1" x14ac:dyDescent="0.25"/>
    <row r="15" spans="2:12" ht="13.5" thickBot="1" x14ac:dyDescent="0.25">
      <c r="B15" s="42" t="s">
        <v>240</v>
      </c>
      <c r="C15" s="43" t="s">
        <v>241</v>
      </c>
      <c r="D15" s="44"/>
      <c r="E15" s="45"/>
      <c r="G15" s="190" t="s">
        <v>483</v>
      </c>
    </row>
    <row r="16" spans="2:12" x14ac:dyDescent="0.2">
      <c r="B16" s="46"/>
      <c r="E16" s="47"/>
    </row>
    <row r="17" spans="2:7" x14ac:dyDescent="0.2">
      <c r="B17" s="48" t="s">
        <v>243</v>
      </c>
      <c r="C17" s="191">
        <f>+'2.- datos subt'!B6</f>
        <v>2206</v>
      </c>
      <c r="D17" s="50" t="s">
        <v>5</v>
      </c>
      <c r="E17" s="51"/>
    </row>
    <row r="18" spans="2:7" x14ac:dyDescent="0.2">
      <c r="B18" s="48" t="s">
        <v>244</v>
      </c>
      <c r="C18" s="191">
        <v>1.3560000000000001</v>
      </c>
      <c r="D18" s="50" t="s">
        <v>5</v>
      </c>
      <c r="E18" s="51"/>
    </row>
    <row r="19" spans="2:7" x14ac:dyDescent="0.2">
      <c r="B19" s="48" t="s">
        <v>245</v>
      </c>
      <c r="C19" s="191">
        <v>1.47</v>
      </c>
      <c r="D19" s="50" t="s">
        <v>5</v>
      </c>
      <c r="E19" s="51"/>
    </row>
    <row r="20" spans="2:7" x14ac:dyDescent="0.2">
      <c r="B20" s="48" t="s">
        <v>246</v>
      </c>
      <c r="C20" s="49">
        <f>C17*C18*C19</f>
        <v>4397.2639200000003</v>
      </c>
      <c r="D20" s="50" t="s">
        <v>247</v>
      </c>
      <c r="E20" s="51"/>
    </row>
    <row r="21" spans="2:7" x14ac:dyDescent="0.2">
      <c r="B21" s="48" t="s">
        <v>248</v>
      </c>
      <c r="C21" s="52">
        <f>0.2*C20</f>
        <v>879.45278400000007</v>
      </c>
      <c r="D21" s="50" t="s">
        <v>249</v>
      </c>
      <c r="E21" s="51"/>
    </row>
    <row r="22" spans="2:7" x14ac:dyDescent="0.2">
      <c r="B22" s="53" t="s">
        <v>250</v>
      </c>
      <c r="C22" s="54">
        <f>0.9*C21</f>
        <v>791.50750560000006</v>
      </c>
      <c r="D22" s="55" t="s">
        <v>249</v>
      </c>
      <c r="E22" s="51"/>
    </row>
    <row r="23" spans="2:7" x14ac:dyDescent="0.2">
      <c r="B23" s="53" t="s">
        <v>251</v>
      </c>
      <c r="C23" s="54">
        <f>0.1*C21</f>
        <v>87.945278400000007</v>
      </c>
      <c r="D23" s="55" t="s">
        <v>249</v>
      </c>
      <c r="E23" s="51"/>
    </row>
    <row r="25" spans="2:7" ht="13.5" thickBot="1" x14ac:dyDescent="0.25"/>
    <row r="26" spans="2:7" ht="13.5" thickBot="1" x14ac:dyDescent="0.25">
      <c r="B26" s="42" t="s">
        <v>240</v>
      </c>
      <c r="C26" s="43" t="s">
        <v>241</v>
      </c>
      <c r="D26" s="44"/>
      <c r="E26" s="45"/>
      <c r="G26" s="193" t="s">
        <v>540</v>
      </c>
    </row>
    <row r="27" spans="2:7" x14ac:dyDescent="0.2">
      <c r="B27" s="46"/>
      <c r="E27" s="47"/>
    </row>
    <row r="28" spans="2:7" x14ac:dyDescent="0.2">
      <c r="B28" s="48" t="s">
        <v>243</v>
      </c>
      <c r="C28" s="192">
        <f>+'2.- datos subt'!B25</f>
        <v>430.47</v>
      </c>
      <c r="D28" s="50" t="s">
        <v>5</v>
      </c>
      <c r="E28" s="51"/>
    </row>
    <row r="29" spans="2:7" x14ac:dyDescent="0.2">
      <c r="B29" s="48" t="s">
        <v>244</v>
      </c>
      <c r="C29" s="192">
        <v>1.2</v>
      </c>
      <c r="D29" s="50" t="s">
        <v>5</v>
      </c>
      <c r="E29" s="51"/>
    </row>
    <row r="30" spans="2:7" x14ac:dyDescent="0.2">
      <c r="B30" s="48" t="s">
        <v>245</v>
      </c>
      <c r="C30" s="192">
        <v>1.825</v>
      </c>
      <c r="D30" s="50" t="s">
        <v>5</v>
      </c>
      <c r="E30" s="51"/>
    </row>
    <row r="31" spans="2:7" x14ac:dyDescent="0.2">
      <c r="B31" s="48" t="s">
        <v>246</v>
      </c>
      <c r="C31" s="49">
        <f>C28*C29*C30</f>
        <v>942.72929999999997</v>
      </c>
      <c r="D31" s="50" t="s">
        <v>247</v>
      </c>
      <c r="E31" s="51"/>
    </row>
    <row r="32" spans="2:7" x14ac:dyDescent="0.2">
      <c r="B32" s="48" t="s">
        <v>248</v>
      </c>
      <c r="C32" s="52">
        <f>0.2*C31</f>
        <v>188.54586</v>
      </c>
      <c r="D32" s="50" t="s">
        <v>249</v>
      </c>
      <c r="E32" s="51"/>
    </row>
    <row r="33" spans="2:12" x14ac:dyDescent="0.2">
      <c r="B33" s="53" t="s">
        <v>250</v>
      </c>
      <c r="C33" s="54">
        <f>0.9*C32</f>
        <v>169.69127400000002</v>
      </c>
      <c r="D33" s="55" t="s">
        <v>249</v>
      </c>
      <c r="E33" s="51"/>
    </row>
    <row r="34" spans="2:12" x14ac:dyDescent="0.2">
      <c r="B34" s="53" t="s">
        <v>251</v>
      </c>
      <c r="C34" s="54">
        <f>0.1*C32</f>
        <v>18.854586000000001</v>
      </c>
      <c r="D34" s="55" t="s">
        <v>249</v>
      </c>
      <c r="E34" s="51"/>
    </row>
    <row r="36" spans="2:12" ht="13.5" thickBot="1" x14ac:dyDescent="0.25"/>
    <row r="37" spans="2:12" ht="13.5" thickBot="1" x14ac:dyDescent="0.25">
      <c r="B37" s="42" t="s">
        <v>240</v>
      </c>
      <c r="C37" s="43" t="s">
        <v>241</v>
      </c>
      <c r="D37" s="44"/>
      <c r="E37" s="45"/>
    </row>
    <row r="38" spans="2:12" x14ac:dyDescent="0.2">
      <c r="B38" s="46"/>
      <c r="E38" s="47"/>
    </row>
    <row r="39" spans="2:12" x14ac:dyDescent="0.2">
      <c r="B39" s="48" t="s">
        <v>243</v>
      </c>
      <c r="C39" s="56">
        <v>0</v>
      </c>
      <c r="D39" s="50" t="s">
        <v>5</v>
      </c>
      <c r="E39" s="51"/>
    </row>
    <row r="40" spans="2:12" x14ac:dyDescent="0.2">
      <c r="B40" s="48" t="s">
        <v>244</v>
      </c>
      <c r="C40" s="56">
        <v>0</v>
      </c>
      <c r="D40" s="50" t="s">
        <v>5</v>
      </c>
      <c r="E40" s="51"/>
    </row>
    <row r="41" spans="2:12" x14ac:dyDescent="0.2">
      <c r="B41" s="48" t="s">
        <v>245</v>
      </c>
      <c r="C41" s="56">
        <v>0</v>
      </c>
      <c r="D41" s="50" t="s">
        <v>5</v>
      </c>
      <c r="E41" s="51"/>
    </row>
    <row r="42" spans="2:12" x14ac:dyDescent="0.2">
      <c r="B42" s="48" t="s">
        <v>246</v>
      </c>
      <c r="C42" s="49">
        <f>C39*C40*C41</f>
        <v>0</v>
      </c>
      <c r="D42" s="50" t="s">
        <v>247</v>
      </c>
      <c r="E42" s="51"/>
    </row>
    <row r="43" spans="2:12" x14ac:dyDescent="0.2">
      <c r="B43" s="48" t="s">
        <v>248</v>
      </c>
      <c r="C43" s="52">
        <f>0.2*C42</f>
        <v>0</v>
      </c>
      <c r="D43" s="50" t="s">
        <v>249</v>
      </c>
      <c r="E43" s="51"/>
    </row>
    <row r="44" spans="2:12" x14ac:dyDescent="0.2">
      <c r="B44" s="53" t="s">
        <v>250</v>
      </c>
      <c r="C44" s="54">
        <f>0.9*C43</f>
        <v>0</v>
      </c>
      <c r="D44" s="55" t="s">
        <v>249</v>
      </c>
      <c r="E44" s="51"/>
    </row>
    <row r="45" spans="2:12" x14ac:dyDescent="0.2">
      <c r="B45" s="53" t="s">
        <v>251</v>
      </c>
      <c r="C45" s="54">
        <f>0.1*C43</f>
        <v>0</v>
      </c>
      <c r="D45" s="55" t="s">
        <v>249</v>
      </c>
      <c r="E45" s="51"/>
    </row>
    <row r="47" spans="2:12" ht="13.5" thickBot="1" x14ac:dyDescent="0.25"/>
    <row r="48" spans="2:12" ht="13.5" thickBot="1" x14ac:dyDescent="0.25">
      <c r="B48" s="42" t="s">
        <v>240</v>
      </c>
      <c r="C48" s="43" t="s">
        <v>252</v>
      </c>
      <c r="D48" s="44"/>
      <c r="E48" s="45"/>
      <c r="H48" s="304" t="s">
        <v>253</v>
      </c>
      <c r="I48" s="304"/>
      <c r="J48" s="304"/>
      <c r="K48" s="304"/>
      <c r="L48" s="304"/>
    </row>
    <row r="49" spans="2:12" x14ac:dyDescent="0.2">
      <c r="B49" s="46"/>
      <c r="E49" s="47"/>
      <c r="H49" s="304"/>
      <c r="I49" s="304"/>
      <c r="J49" s="304"/>
      <c r="K49" s="304"/>
      <c r="L49" s="304"/>
    </row>
    <row r="50" spans="2:12" x14ac:dyDescent="0.2">
      <c r="B50" s="48" t="s">
        <v>254</v>
      </c>
      <c r="C50" s="49">
        <f>+'2.- datos subt'!B14+'2.- datos subt'!B31</f>
        <v>0</v>
      </c>
      <c r="D50" s="50" t="s">
        <v>6</v>
      </c>
      <c r="E50" s="51"/>
      <c r="H50" s="304"/>
      <c r="I50" s="304"/>
      <c r="J50" s="304"/>
      <c r="K50" s="304"/>
      <c r="L50" s="304"/>
    </row>
    <row r="51" spans="2:12" x14ac:dyDescent="0.2">
      <c r="B51" s="48" t="s">
        <v>255</v>
      </c>
      <c r="C51" s="49">
        <v>14</v>
      </c>
      <c r="D51" s="50" t="s">
        <v>5</v>
      </c>
      <c r="E51" s="51"/>
      <c r="H51" s="304"/>
      <c r="I51" s="304"/>
      <c r="J51" s="304"/>
      <c r="K51" s="304"/>
      <c r="L51" s="304"/>
    </row>
    <row r="52" spans="2:12" x14ac:dyDescent="0.2">
      <c r="B52" s="48" t="s">
        <v>256</v>
      </c>
      <c r="C52" s="49">
        <v>3</v>
      </c>
      <c r="D52" s="50" t="s">
        <v>5</v>
      </c>
      <c r="E52" s="51"/>
      <c r="H52" s="304"/>
      <c r="I52" s="304"/>
      <c r="J52" s="304"/>
      <c r="K52" s="304"/>
      <c r="L52" s="304"/>
    </row>
    <row r="53" spans="2:12" x14ac:dyDescent="0.2">
      <c r="B53" s="48" t="s">
        <v>257</v>
      </c>
      <c r="C53" s="49">
        <v>2</v>
      </c>
      <c r="D53" s="50" t="s">
        <v>5</v>
      </c>
      <c r="E53" s="51"/>
      <c r="H53" s="304"/>
      <c r="I53" s="304"/>
      <c r="J53" s="304"/>
      <c r="K53" s="304"/>
      <c r="L53" s="304"/>
    </row>
    <row r="54" spans="2:12" x14ac:dyDescent="0.2">
      <c r="B54" s="48" t="s">
        <v>258</v>
      </c>
      <c r="C54" s="49">
        <f>C50*C51*C53*C52</f>
        <v>0</v>
      </c>
      <c r="D54" s="50" t="s">
        <v>249</v>
      </c>
      <c r="E54" s="51"/>
      <c r="H54" s="304"/>
      <c r="I54" s="304"/>
      <c r="J54" s="304"/>
      <c r="K54" s="304"/>
      <c r="L54" s="304"/>
    </row>
    <row r="55" spans="2:12" x14ac:dyDescent="0.2">
      <c r="B55" s="48" t="s">
        <v>248</v>
      </c>
      <c r="C55" s="52">
        <f>0.8*C54</f>
        <v>0</v>
      </c>
      <c r="D55" s="50" t="s">
        <v>249</v>
      </c>
      <c r="E55" s="51"/>
      <c r="H55" s="304"/>
      <c r="I55" s="304"/>
      <c r="J55" s="304"/>
      <c r="K55" s="304"/>
      <c r="L55" s="304"/>
    </row>
    <row r="56" spans="2:12" x14ac:dyDescent="0.2">
      <c r="B56" s="53" t="s">
        <v>250</v>
      </c>
      <c r="C56" s="54">
        <f>0.9*C55</f>
        <v>0</v>
      </c>
      <c r="D56" s="55" t="s">
        <v>249</v>
      </c>
      <c r="E56" s="51"/>
      <c r="H56" s="304"/>
      <c r="I56" s="304"/>
      <c r="J56" s="304"/>
      <c r="K56" s="304"/>
      <c r="L56" s="304"/>
    </row>
    <row r="57" spans="2:12" x14ac:dyDescent="0.2">
      <c r="B57" s="53" t="s">
        <v>251</v>
      </c>
      <c r="C57" s="54">
        <f>0.1*C55</f>
        <v>0</v>
      </c>
      <c r="D57" s="55" t="s">
        <v>249</v>
      </c>
      <c r="E57" s="51"/>
      <c r="H57" s="304"/>
      <c r="I57" s="304"/>
      <c r="J57" s="304"/>
      <c r="K57" s="304"/>
      <c r="L57" s="304"/>
    </row>
    <row r="58" spans="2:12" x14ac:dyDescent="0.2">
      <c r="B58" s="57"/>
      <c r="C58" s="58"/>
      <c r="D58" s="57"/>
    </row>
    <row r="59" spans="2:12" ht="13.5" thickBot="1" x14ac:dyDescent="0.25"/>
    <row r="60" spans="2:12" ht="13.5" thickBot="1" x14ac:dyDescent="0.25">
      <c r="B60" s="42" t="s">
        <v>240</v>
      </c>
      <c r="C60" s="43" t="s">
        <v>259</v>
      </c>
      <c r="D60" s="44"/>
      <c r="E60" s="45"/>
      <c r="H60" s="304" t="s">
        <v>260</v>
      </c>
      <c r="I60" s="304"/>
      <c r="J60" s="304"/>
      <c r="K60" s="304"/>
      <c r="L60" s="304"/>
    </row>
    <row r="61" spans="2:12" x14ac:dyDescent="0.2">
      <c r="B61" s="46"/>
      <c r="E61" s="47"/>
      <c r="H61" s="304"/>
      <c r="I61" s="304"/>
      <c r="J61" s="304"/>
      <c r="K61" s="304"/>
      <c r="L61" s="304"/>
    </row>
    <row r="62" spans="2:12" x14ac:dyDescent="0.2">
      <c r="B62" s="48" t="s">
        <v>261</v>
      </c>
      <c r="C62" s="56">
        <f>+'1.- datos aéreo'!T16</f>
        <v>0</v>
      </c>
      <c r="D62" s="50" t="s">
        <v>249</v>
      </c>
      <c r="E62" s="51"/>
      <c r="H62" s="304"/>
      <c r="I62" s="304"/>
      <c r="J62" s="304"/>
      <c r="K62" s="304"/>
      <c r="L62" s="304"/>
    </row>
    <row r="63" spans="2:12" x14ac:dyDescent="0.2">
      <c r="B63" s="48" t="s">
        <v>248</v>
      </c>
      <c r="C63" s="52">
        <f>0.9*C62</f>
        <v>0</v>
      </c>
      <c r="D63" s="50" t="s">
        <v>249</v>
      </c>
      <c r="E63" s="51"/>
      <c r="H63" s="304"/>
      <c r="I63" s="304"/>
      <c r="J63" s="304"/>
      <c r="K63" s="304"/>
      <c r="L63" s="304"/>
    </row>
    <row r="64" spans="2:12" x14ac:dyDescent="0.2">
      <c r="B64" s="53" t="s">
        <v>250</v>
      </c>
      <c r="C64" s="54">
        <f>0.9*C63</f>
        <v>0</v>
      </c>
      <c r="D64" s="55" t="s">
        <v>249</v>
      </c>
      <c r="E64" s="51"/>
      <c r="H64" s="304"/>
      <c r="I64" s="304"/>
      <c r="J64" s="304"/>
      <c r="K64" s="304"/>
      <c r="L64" s="304"/>
    </row>
    <row r="65" spans="2:12" x14ac:dyDescent="0.2">
      <c r="B65" s="53" t="s">
        <v>251</v>
      </c>
      <c r="C65" s="54">
        <f>0.1*C64</f>
        <v>0</v>
      </c>
      <c r="D65" s="55" t="s">
        <v>249</v>
      </c>
      <c r="E65" s="51"/>
      <c r="H65" s="304"/>
      <c r="I65" s="304"/>
      <c r="J65" s="304"/>
      <c r="K65" s="304"/>
      <c r="L65" s="304"/>
    </row>
    <row r="66" spans="2:12" x14ac:dyDescent="0.2">
      <c r="C66" s="59"/>
    </row>
    <row r="67" spans="2:12" ht="13.5" thickBot="1" x14ac:dyDescent="0.25"/>
    <row r="68" spans="2:12" ht="13.5" thickBot="1" x14ac:dyDescent="0.25">
      <c r="B68" s="42" t="s">
        <v>240</v>
      </c>
      <c r="C68" s="43" t="s">
        <v>262</v>
      </c>
      <c r="D68" s="44"/>
      <c r="E68" s="45"/>
      <c r="H68" s="304" t="s">
        <v>263</v>
      </c>
      <c r="I68" s="304"/>
      <c r="J68" s="304"/>
      <c r="K68" s="304"/>
      <c r="L68" s="304"/>
    </row>
    <row r="69" spans="2:12" ht="7.5" customHeight="1" x14ac:dyDescent="0.2">
      <c r="B69" s="46"/>
      <c r="E69" s="47"/>
      <c r="H69" s="304"/>
      <c r="I69" s="304"/>
      <c r="J69" s="304"/>
      <c r="K69" s="304"/>
      <c r="L69" s="304"/>
    </row>
    <row r="70" spans="2:12" x14ac:dyDescent="0.2">
      <c r="B70" s="48" t="s">
        <v>264</v>
      </c>
      <c r="C70" s="56">
        <v>0</v>
      </c>
      <c r="D70" s="50" t="s">
        <v>5</v>
      </c>
      <c r="E70" s="51"/>
      <c r="H70" s="304"/>
      <c r="I70" s="304"/>
      <c r="J70" s="304"/>
      <c r="K70" s="304"/>
      <c r="L70" s="304"/>
    </row>
    <row r="71" spans="2:12" x14ac:dyDescent="0.2">
      <c r="B71" s="48" t="s">
        <v>265</v>
      </c>
      <c r="C71" s="56">
        <v>0</v>
      </c>
      <c r="D71" s="50" t="s">
        <v>5</v>
      </c>
      <c r="E71" s="51"/>
      <c r="H71" s="304"/>
      <c r="I71" s="304"/>
      <c r="J71" s="304"/>
      <c r="K71" s="304"/>
      <c r="L71" s="304"/>
    </row>
    <row r="72" spans="2:12" x14ac:dyDescent="0.2">
      <c r="B72" s="48" t="s">
        <v>266</v>
      </c>
      <c r="C72" s="56">
        <v>0</v>
      </c>
      <c r="D72" s="50" t="s">
        <v>5</v>
      </c>
      <c r="E72" s="51"/>
      <c r="H72" s="304"/>
      <c r="I72" s="304"/>
      <c r="J72" s="304"/>
      <c r="K72" s="304"/>
      <c r="L72" s="304"/>
    </row>
    <row r="73" spans="2:12" x14ac:dyDescent="0.2">
      <c r="B73" s="48" t="s">
        <v>267</v>
      </c>
      <c r="C73" s="49">
        <f>C70*C71*C72</f>
        <v>0</v>
      </c>
      <c r="D73" s="50" t="s">
        <v>247</v>
      </c>
      <c r="E73" s="51"/>
      <c r="H73" s="304"/>
      <c r="I73" s="304"/>
      <c r="J73" s="304"/>
      <c r="K73" s="304"/>
      <c r="L73" s="304"/>
    </row>
    <row r="74" spans="2:12" x14ac:dyDescent="0.2">
      <c r="B74" s="48" t="s">
        <v>248</v>
      </c>
      <c r="C74" s="52">
        <f>0.9*C73</f>
        <v>0</v>
      </c>
      <c r="D74" s="50" t="s">
        <v>249</v>
      </c>
      <c r="E74" s="51"/>
      <c r="H74" s="304"/>
      <c r="I74" s="304"/>
      <c r="J74" s="304"/>
      <c r="K74" s="304"/>
      <c r="L74" s="304"/>
    </row>
    <row r="75" spans="2:12" x14ac:dyDescent="0.2">
      <c r="B75" s="53" t="s">
        <v>250</v>
      </c>
      <c r="C75" s="54">
        <f>0.9*C74</f>
        <v>0</v>
      </c>
      <c r="D75" s="55" t="s">
        <v>249</v>
      </c>
      <c r="E75" s="51"/>
      <c r="H75" s="304"/>
      <c r="I75" s="304"/>
      <c r="J75" s="304"/>
      <c r="K75" s="304"/>
      <c r="L75" s="304"/>
    </row>
    <row r="76" spans="2:12" x14ac:dyDescent="0.2">
      <c r="B76" s="53" t="s">
        <v>251</v>
      </c>
      <c r="C76" s="54">
        <f>0.1*C74</f>
        <v>0</v>
      </c>
      <c r="D76" s="55" t="s">
        <v>249</v>
      </c>
      <c r="E76" s="51"/>
      <c r="H76" s="304"/>
      <c r="I76" s="304"/>
      <c r="J76" s="304"/>
      <c r="K76" s="304"/>
      <c r="L76" s="304"/>
    </row>
    <row r="78" spans="2:12" ht="13.5" thickBot="1" x14ac:dyDescent="0.25"/>
    <row r="79" spans="2:12" ht="13.5" thickBot="1" x14ac:dyDescent="0.25">
      <c r="B79" s="42" t="s">
        <v>240</v>
      </c>
      <c r="C79" s="43" t="s">
        <v>268</v>
      </c>
      <c r="D79" s="44"/>
      <c r="E79" s="45"/>
      <c r="H79" s="304" t="s">
        <v>269</v>
      </c>
      <c r="I79" s="304"/>
      <c r="J79" s="304"/>
      <c r="K79" s="304"/>
      <c r="L79" s="304"/>
    </row>
    <row r="80" spans="2:12" ht="7.5" customHeight="1" x14ac:dyDescent="0.2">
      <c r="B80" s="46"/>
      <c r="E80" s="47"/>
      <c r="H80" s="304"/>
      <c r="I80" s="304"/>
      <c r="J80" s="304"/>
      <c r="K80" s="304"/>
      <c r="L80" s="304"/>
    </row>
    <row r="81" spans="2:12" x14ac:dyDescent="0.2">
      <c r="B81" s="48" t="s">
        <v>248</v>
      </c>
      <c r="C81" s="56">
        <v>0</v>
      </c>
      <c r="D81" s="50" t="s">
        <v>249</v>
      </c>
      <c r="E81" s="51"/>
      <c r="H81" s="304"/>
      <c r="I81" s="304"/>
      <c r="J81" s="304"/>
      <c r="K81" s="304"/>
      <c r="L81" s="304"/>
    </row>
    <row r="82" spans="2:12" x14ac:dyDescent="0.2">
      <c r="B82" s="53" t="s">
        <v>250</v>
      </c>
      <c r="C82" s="54">
        <f>0.9*C81</f>
        <v>0</v>
      </c>
      <c r="D82" s="55" t="s">
        <v>249</v>
      </c>
      <c r="E82" s="51"/>
      <c r="H82" s="304"/>
      <c r="I82" s="304"/>
      <c r="J82" s="304"/>
      <c r="K82" s="304"/>
      <c r="L82" s="304"/>
    </row>
    <row r="83" spans="2:12" x14ac:dyDescent="0.2">
      <c r="B83" s="53" t="s">
        <v>251</v>
      </c>
      <c r="C83" s="54">
        <f>0.1*C81</f>
        <v>0</v>
      </c>
      <c r="D83" s="55" t="s">
        <v>249</v>
      </c>
      <c r="E83" s="51"/>
      <c r="H83" s="304"/>
      <c r="I83" s="304"/>
      <c r="J83" s="304"/>
      <c r="K83" s="304"/>
      <c r="L83" s="304"/>
    </row>
    <row r="85" spans="2:12" ht="13.5" thickBot="1" x14ac:dyDescent="0.25"/>
    <row r="86" spans="2:12" ht="13.5" thickBot="1" x14ac:dyDescent="0.25">
      <c r="B86" s="42" t="s">
        <v>240</v>
      </c>
      <c r="C86" s="43" t="s">
        <v>270</v>
      </c>
      <c r="D86" s="44"/>
      <c r="E86" s="45"/>
      <c r="H86" s="304" t="s">
        <v>271</v>
      </c>
      <c r="I86" s="304"/>
      <c r="J86" s="304"/>
      <c r="K86" s="304"/>
      <c r="L86" s="304"/>
    </row>
    <row r="87" spans="2:12" ht="7.5" customHeight="1" x14ac:dyDescent="0.2">
      <c r="B87" s="46"/>
      <c r="E87" s="47"/>
      <c r="H87" s="304"/>
      <c r="I87" s="304"/>
      <c r="J87" s="304"/>
      <c r="K87" s="304"/>
      <c r="L87" s="304"/>
    </row>
    <row r="88" spans="2:12" x14ac:dyDescent="0.2">
      <c r="B88" s="48" t="s">
        <v>272</v>
      </c>
      <c r="C88" s="49">
        <v>4</v>
      </c>
      <c r="D88" s="50" t="s">
        <v>5</v>
      </c>
      <c r="E88" s="51"/>
      <c r="H88" s="304"/>
      <c r="I88" s="304"/>
      <c r="J88" s="304"/>
      <c r="K88" s="304"/>
      <c r="L88" s="304"/>
    </row>
    <row r="89" spans="2:12" x14ac:dyDescent="0.2">
      <c r="B89" s="48" t="s">
        <v>273</v>
      </c>
      <c r="C89" s="49">
        <v>4</v>
      </c>
      <c r="D89" s="50" t="s">
        <v>5</v>
      </c>
      <c r="E89" s="51"/>
      <c r="H89" s="304"/>
      <c r="I89" s="304"/>
      <c r="J89" s="304"/>
      <c r="K89" s="304"/>
      <c r="L89" s="304"/>
    </row>
    <row r="90" spans="2:12" x14ac:dyDescent="0.2">
      <c r="B90" s="48" t="s">
        <v>274</v>
      </c>
      <c r="C90" s="49">
        <v>2</v>
      </c>
      <c r="D90" s="50" t="s">
        <v>5</v>
      </c>
      <c r="E90" s="51"/>
      <c r="H90" s="304"/>
      <c r="I90" s="304"/>
      <c r="J90" s="304"/>
      <c r="K90" s="304"/>
      <c r="L90" s="304"/>
    </row>
    <row r="91" spans="2:12" x14ac:dyDescent="0.2">
      <c r="B91" s="48" t="s">
        <v>275</v>
      </c>
      <c r="C91" s="49">
        <f>C88*C89*C90*('2.- datos subt'!$B$8+'2.- datos subt'!$B$27)</f>
        <v>0</v>
      </c>
      <c r="D91" s="50" t="s">
        <v>247</v>
      </c>
      <c r="E91" s="51"/>
      <c r="H91" s="304"/>
      <c r="I91" s="304"/>
      <c r="J91" s="304"/>
      <c r="K91" s="304"/>
      <c r="L91" s="304"/>
    </row>
    <row r="92" spans="2:12" x14ac:dyDescent="0.2">
      <c r="B92" s="48" t="s">
        <v>276</v>
      </c>
      <c r="C92" s="49">
        <f>+'2.- datos subt'!B7+'2.- datos subt'!B26</f>
        <v>0</v>
      </c>
      <c r="D92" s="50" t="s">
        <v>5</v>
      </c>
      <c r="E92" s="51"/>
      <c r="H92" s="304"/>
      <c r="I92" s="304"/>
      <c r="J92" s="304"/>
      <c r="K92" s="304"/>
      <c r="L92" s="304"/>
    </row>
    <row r="93" spans="2:12" x14ac:dyDescent="0.2">
      <c r="B93" s="48" t="s">
        <v>277</v>
      </c>
      <c r="C93" s="49">
        <v>0.71</v>
      </c>
      <c r="D93" s="50" t="s">
        <v>5</v>
      </c>
      <c r="E93" s="51"/>
      <c r="H93" s="304"/>
      <c r="I93" s="304"/>
      <c r="J93" s="304"/>
      <c r="K93" s="304"/>
      <c r="L93" s="304"/>
    </row>
    <row r="94" spans="2:12" x14ac:dyDescent="0.2">
      <c r="B94" s="48" t="s">
        <v>278</v>
      </c>
      <c r="C94" s="49">
        <f>C92*(C93/2)^2*PI()</f>
        <v>0</v>
      </c>
      <c r="D94" s="50" t="s">
        <v>249</v>
      </c>
      <c r="E94" s="51"/>
      <c r="H94" s="304"/>
      <c r="I94" s="304"/>
      <c r="J94" s="304"/>
      <c r="K94" s="304"/>
      <c r="L94" s="304"/>
    </row>
    <row r="95" spans="2:12" x14ac:dyDescent="0.2">
      <c r="B95" s="48" t="s">
        <v>248</v>
      </c>
      <c r="C95" s="52">
        <f>0.3*C91+C94</f>
        <v>0</v>
      </c>
      <c r="D95" s="50" t="s">
        <v>249</v>
      </c>
      <c r="E95" s="51"/>
      <c r="H95" s="304"/>
      <c r="I95" s="304"/>
      <c r="J95" s="304"/>
      <c r="K95" s="304"/>
      <c r="L95" s="304"/>
    </row>
    <row r="96" spans="2:12" x14ac:dyDescent="0.2">
      <c r="B96" s="53" t="s">
        <v>250</v>
      </c>
      <c r="C96" s="54">
        <f>0.9*C95</f>
        <v>0</v>
      </c>
      <c r="D96" s="55" t="s">
        <v>249</v>
      </c>
      <c r="E96" s="51"/>
      <c r="H96" s="304"/>
      <c r="I96" s="304"/>
      <c r="J96" s="304"/>
      <c r="K96" s="304"/>
      <c r="L96" s="304"/>
    </row>
    <row r="97" spans="2:12" x14ac:dyDescent="0.2">
      <c r="B97" s="53" t="s">
        <v>251</v>
      </c>
      <c r="C97" s="54">
        <f>0.1*C95</f>
        <v>0</v>
      </c>
      <c r="D97" s="55" t="s">
        <v>249</v>
      </c>
      <c r="E97" s="51"/>
      <c r="H97" s="304"/>
      <c r="I97" s="304"/>
      <c r="J97" s="304"/>
      <c r="K97" s="304"/>
      <c r="L97" s="304"/>
    </row>
    <row r="99" spans="2:12" ht="13.5" thickBot="1" x14ac:dyDescent="0.25"/>
    <row r="100" spans="2:12" ht="12.75" customHeight="1" thickBot="1" x14ac:dyDescent="0.25">
      <c r="B100" s="42" t="s">
        <v>240</v>
      </c>
      <c r="C100" s="43" t="s">
        <v>279</v>
      </c>
      <c r="D100" s="44"/>
      <c r="E100" s="45"/>
      <c r="H100" s="304" t="s">
        <v>280</v>
      </c>
      <c r="I100" s="304"/>
      <c r="J100" s="304"/>
      <c r="K100" s="304"/>
      <c r="L100" s="304"/>
    </row>
    <row r="101" spans="2:12" x14ac:dyDescent="0.2">
      <c r="B101" s="46"/>
      <c r="E101" s="47"/>
      <c r="H101" s="304"/>
      <c r="I101" s="304"/>
      <c r="J101" s="304"/>
      <c r="K101" s="304"/>
      <c r="L101" s="304"/>
    </row>
    <row r="102" spans="2:12" x14ac:dyDescent="0.2">
      <c r="B102" s="48" t="s">
        <v>248</v>
      </c>
      <c r="C102" s="56">
        <v>0</v>
      </c>
      <c r="D102" s="50" t="s">
        <v>249</v>
      </c>
      <c r="E102" s="51"/>
      <c r="H102" s="304"/>
      <c r="I102" s="304"/>
      <c r="J102" s="304"/>
      <c r="K102" s="304"/>
      <c r="L102" s="304"/>
    </row>
    <row r="103" spans="2:12" x14ac:dyDescent="0.2">
      <c r="B103" s="53" t="s">
        <v>250</v>
      </c>
      <c r="C103" s="54">
        <f>0*C102</f>
        <v>0</v>
      </c>
      <c r="D103" s="55" t="s">
        <v>249</v>
      </c>
      <c r="E103" s="51"/>
      <c r="H103" s="304"/>
      <c r="I103" s="304"/>
      <c r="J103" s="304"/>
      <c r="K103" s="304"/>
      <c r="L103" s="304"/>
    </row>
    <row r="104" spans="2:12" x14ac:dyDescent="0.2">
      <c r="B104" s="53" t="s">
        <v>251</v>
      </c>
      <c r="C104" s="54">
        <f>1*C102</f>
        <v>0</v>
      </c>
      <c r="D104" s="55" t="s">
        <v>249</v>
      </c>
      <c r="E104" s="51"/>
      <c r="H104" s="304"/>
      <c r="I104" s="304"/>
      <c r="J104" s="304"/>
      <c r="K104" s="304"/>
      <c r="L104" s="304"/>
    </row>
  </sheetData>
  <mergeCells count="7">
    <mergeCell ref="H100:L104"/>
    <mergeCell ref="H4:L12"/>
    <mergeCell ref="H48:L57"/>
    <mergeCell ref="H60:L65"/>
    <mergeCell ref="H68:L76"/>
    <mergeCell ref="H79:L83"/>
    <mergeCell ref="H86:L97"/>
  </mergeCells>
  <pageMargins left="0.75" right="0.75" top="1" bottom="1" header="0" footer="0"/>
  <pageSetup paperSize="9" scale="46"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181F-4FE8-4DD4-8B3A-B2F7916D4B9C}">
  <sheetPr>
    <tabColor rgb="FFFFFF00"/>
  </sheetPr>
  <dimension ref="B1:G44"/>
  <sheetViews>
    <sheetView topLeftCell="A23" zoomScaleNormal="100" zoomScaleSheetLayoutView="100" workbookViewId="0">
      <selection activeCell="F44" sqref="B2:F44"/>
    </sheetView>
  </sheetViews>
  <sheetFormatPr baseColWidth="10" defaultRowHeight="12.75" x14ac:dyDescent="0.2"/>
  <cols>
    <col min="1" max="1" width="3" style="38" customWidth="1"/>
    <col min="2" max="2" width="29.85546875" style="38" customWidth="1"/>
    <col min="3" max="3" width="17.28515625" style="38" customWidth="1"/>
    <col min="4" max="4" width="15.5703125" style="38" bestFit="1" customWidth="1"/>
    <col min="5" max="5" width="15.7109375" style="38" customWidth="1"/>
    <col min="6" max="6" width="14.28515625" style="38" customWidth="1"/>
    <col min="7" max="7" width="3.42578125" style="38" customWidth="1"/>
    <col min="8" max="256" width="11.42578125" style="38"/>
    <col min="257" max="257" width="3" style="38" customWidth="1"/>
    <col min="258" max="258" width="42.5703125" style="38" customWidth="1"/>
    <col min="259" max="259" width="25.7109375" style="38" customWidth="1"/>
    <col min="260" max="260" width="16.140625" style="38" customWidth="1"/>
    <col min="261" max="261" width="15.7109375" style="38" customWidth="1"/>
    <col min="262" max="262" width="14.28515625" style="38" customWidth="1"/>
    <col min="263" max="263" width="3.42578125" style="38" customWidth="1"/>
    <col min="264" max="512" width="11.42578125" style="38"/>
    <col min="513" max="513" width="3" style="38" customWidth="1"/>
    <col min="514" max="514" width="42.5703125" style="38" customWidth="1"/>
    <col min="515" max="515" width="25.7109375" style="38" customWidth="1"/>
    <col min="516" max="516" width="16.140625" style="38" customWidth="1"/>
    <col min="517" max="517" width="15.7109375" style="38" customWidth="1"/>
    <col min="518" max="518" width="14.28515625" style="38" customWidth="1"/>
    <col min="519" max="519" width="3.42578125" style="38" customWidth="1"/>
    <col min="520" max="768" width="11.42578125" style="38"/>
    <col min="769" max="769" width="3" style="38" customWidth="1"/>
    <col min="770" max="770" width="42.5703125" style="38" customWidth="1"/>
    <col min="771" max="771" width="25.7109375" style="38" customWidth="1"/>
    <col min="772" max="772" width="16.140625" style="38" customWidth="1"/>
    <col min="773" max="773" width="15.7109375" style="38" customWidth="1"/>
    <col min="774" max="774" width="14.28515625" style="38" customWidth="1"/>
    <col min="775" max="775" width="3.42578125" style="38" customWidth="1"/>
    <col min="776" max="1024" width="11.42578125" style="38"/>
    <col min="1025" max="1025" width="3" style="38" customWidth="1"/>
    <col min="1026" max="1026" width="42.5703125" style="38" customWidth="1"/>
    <col min="1027" max="1027" width="25.7109375" style="38" customWidth="1"/>
    <col min="1028" max="1028" width="16.140625" style="38" customWidth="1"/>
    <col min="1029" max="1029" width="15.7109375" style="38" customWidth="1"/>
    <col min="1030" max="1030" width="14.28515625" style="38" customWidth="1"/>
    <col min="1031" max="1031" width="3.42578125" style="38" customWidth="1"/>
    <col min="1032" max="1280" width="11.42578125" style="38"/>
    <col min="1281" max="1281" width="3" style="38" customWidth="1"/>
    <col min="1282" max="1282" width="42.5703125" style="38" customWidth="1"/>
    <col min="1283" max="1283" width="25.7109375" style="38" customWidth="1"/>
    <col min="1284" max="1284" width="16.140625" style="38" customWidth="1"/>
    <col min="1285" max="1285" width="15.7109375" style="38" customWidth="1"/>
    <col min="1286" max="1286" width="14.28515625" style="38" customWidth="1"/>
    <col min="1287" max="1287" width="3.42578125" style="38" customWidth="1"/>
    <col min="1288" max="1536" width="11.42578125" style="38"/>
    <col min="1537" max="1537" width="3" style="38" customWidth="1"/>
    <col min="1538" max="1538" width="42.5703125" style="38" customWidth="1"/>
    <col min="1539" max="1539" width="25.7109375" style="38" customWidth="1"/>
    <col min="1540" max="1540" width="16.140625" style="38" customWidth="1"/>
    <col min="1541" max="1541" width="15.7109375" style="38" customWidth="1"/>
    <col min="1542" max="1542" width="14.28515625" style="38" customWidth="1"/>
    <col min="1543" max="1543" width="3.42578125" style="38" customWidth="1"/>
    <col min="1544" max="1792" width="11.42578125" style="38"/>
    <col min="1793" max="1793" width="3" style="38" customWidth="1"/>
    <col min="1794" max="1794" width="42.5703125" style="38" customWidth="1"/>
    <col min="1795" max="1795" width="25.7109375" style="38" customWidth="1"/>
    <col min="1796" max="1796" width="16.140625" style="38" customWidth="1"/>
    <col min="1797" max="1797" width="15.7109375" style="38" customWidth="1"/>
    <col min="1798" max="1798" width="14.28515625" style="38" customWidth="1"/>
    <col min="1799" max="1799" width="3.42578125" style="38" customWidth="1"/>
    <col min="1800" max="2048" width="11.42578125" style="38"/>
    <col min="2049" max="2049" width="3" style="38" customWidth="1"/>
    <col min="2050" max="2050" width="42.5703125" style="38" customWidth="1"/>
    <col min="2051" max="2051" width="25.7109375" style="38" customWidth="1"/>
    <col min="2052" max="2052" width="16.140625" style="38" customWidth="1"/>
    <col min="2053" max="2053" width="15.7109375" style="38" customWidth="1"/>
    <col min="2054" max="2054" width="14.28515625" style="38" customWidth="1"/>
    <col min="2055" max="2055" width="3.42578125" style="38" customWidth="1"/>
    <col min="2056" max="2304" width="11.42578125" style="38"/>
    <col min="2305" max="2305" width="3" style="38" customWidth="1"/>
    <col min="2306" max="2306" width="42.5703125" style="38" customWidth="1"/>
    <col min="2307" max="2307" width="25.7109375" style="38" customWidth="1"/>
    <col min="2308" max="2308" width="16.140625" style="38" customWidth="1"/>
    <col min="2309" max="2309" width="15.7109375" style="38" customWidth="1"/>
    <col min="2310" max="2310" width="14.28515625" style="38" customWidth="1"/>
    <col min="2311" max="2311" width="3.42578125" style="38" customWidth="1"/>
    <col min="2312" max="2560" width="11.42578125" style="38"/>
    <col min="2561" max="2561" width="3" style="38" customWidth="1"/>
    <col min="2562" max="2562" width="42.5703125" style="38" customWidth="1"/>
    <col min="2563" max="2563" width="25.7109375" style="38" customWidth="1"/>
    <col min="2564" max="2564" width="16.140625" style="38" customWidth="1"/>
    <col min="2565" max="2565" width="15.7109375" style="38" customWidth="1"/>
    <col min="2566" max="2566" width="14.28515625" style="38" customWidth="1"/>
    <col min="2567" max="2567" width="3.42578125" style="38" customWidth="1"/>
    <col min="2568" max="2816" width="11.42578125" style="38"/>
    <col min="2817" max="2817" width="3" style="38" customWidth="1"/>
    <col min="2818" max="2818" width="42.5703125" style="38" customWidth="1"/>
    <col min="2819" max="2819" width="25.7109375" style="38" customWidth="1"/>
    <col min="2820" max="2820" width="16.140625" style="38" customWidth="1"/>
    <col min="2821" max="2821" width="15.7109375" style="38" customWidth="1"/>
    <col min="2822" max="2822" width="14.28515625" style="38" customWidth="1"/>
    <col min="2823" max="2823" width="3.42578125" style="38" customWidth="1"/>
    <col min="2824" max="3072" width="11.42578125" style="38"/>
    <col min="3073" max="3073" width="3" style="38" customWidth="1"/>
    <col min="3074" max="3074" width="42.5703125" style="38" customWidth="1"/>
    <col min="3075" max="3075" width="25.7109375" style="38" customWidth="1"/>
    <col min="3076" max="3076" width="16.140625" style="38" customWidth="1"/>
    <col min="3077" max="3077" width="15.7109375" style="38" customWidth="1"/>
    <col min="3078" max="3078" width="14.28515625" style="38" customWidth="1"/>
    <col min="3079" max="3079" width="3.42578125" style="38" customWidth="1"/>
    <col min="3080" max="3328" width="11.42578125" style="38"/>
    <col min="3329" max="3329" width="3" style="38" customWidth="1"/>
    <col min="3330" max="3330" width="42.5703125" style="38" customWidth="1"/>
    <col min="3331" max="3331" width="25.7109375" style="38" customWidth="1"/>
    <col min="3332" max="3332" width="16.140625" style="38" customWidth="1"/>
    <col min="3333" max="3333" width="15.7109375" style="38" customWidth="1"/>
    <col min="3334" max="3334" width="14.28515625" style="38" customWidth="1"/>
    <col min="3335" max="3335" width="3.42578125" style="38" customWidth="1"/>
    <col min="3336" max="3584" width="11.42578125" style="38"/>
    <col min="3585" max="3585" width="3" style="38" customWidth="1"/>
    <col min="3586" max="3586" width="42.5703125" style="38" customWidth="1"/>
    <col min="3587" max="3587" width="25.7109375" style="38" customWidth="1"/>
    <col min="3588" max="3588" width="16.140625" style="38" customWidth="1"/>
    <col min="3589" max="3589" width="15.7109375" style="38" customWidth="1"/>
    <col min="3590" max="3590" width="14.28515625" style="38" customWidth="1"/>
    <col min="3591" max="3591" width="3.42578125" style="38" customWidth="1"/>
    <col min="3592" max="3840" width="11.42578125" style="38"/>
    <col min="3841" max="3841" width="3" style="38" customWidth="1"/>
    <col min="3842" max="3842" width="42.5703125" style="38" customWidth="1"/>
    <col min="3843" max="3843" width="25.7109375" style="38" customWidth="1"/>
    <col min="3844" max="3844" width="16.140625" style="38" customWidth="1"/>
    <col min="3845" max="3845" width="15.7109375" style="38" customWidth="1"/>
    <col min="3846" max="3846" width="14.28515625" style="38" customWidth="1"/>
    <col min="3847" max="3847" width="3.42578125" style="38" customWidth="1"/>
    <col min="3848" max="4096" width="11.42578125" style="38"/>
    <col min="4097" max="4097" width="3" style="38" customWidth="1"/>
    <col min="4098" max="4098" width="42.5703125" style="38" customWidth="1"/>
    <col min="4099" max="4099" width="25.7109375" style="38" customWidth="1"/>
    <col min="4100" max="4100" width="16.140625" style="38" customWidth="1"/>
    <col min="4101" max="4101" width="15.7109375" style="38" customWidth="1"/>
    <col min="4102" max="4102" width="14.28515625" style="38" customWidth="1"/>
    <col min="4103" max="4103" width="3.42578125" style="38" customWidth="1"/>
    <col min="4104" max="4352" width="11.42578125" style="38"/>
    <col min="4353" max="4353" width="3" style="38" customWidth="1"/>
    <col min="4354" max="4354" width="42.5703125" style="38" customWidth="1"/>
    <col min="4355" max="4355" width="25.7109375" style="38" customWidth="1"/>
    <col min="4356" max="4356" width="16.140625" style="38" customWidth="1"/>
    <col min="4357" max="4357" width="15.7109375" style="38" customWidth="1"/>
    <col min="4358" max="4358" width="14.28515625" style="38" customWidth="1"/>
    <col min="4359" max="4359" width="3.42578125" style="38" customWidth="1"/>
    <col min="4360" max="4608" width="11.42578125" style="38"/>
    <col min="4609" max="4609" width="3" style="38" customWidth="1"/>
    <col min="4610" max="4610" width="42.5703125" style="38" customWidth="1"/>
    <col min="4611" max="4611" width="25.7109375" style="38" customWidth="1"/>
    <col min="4612" max="4612" width="16.140625" style="38" customWidth="1"/>
    <col min="4613" max="4613" width="15.7109375" style="38" customWidth="1"/>
    <col min="4614" max="4614" width="14.28515625" style="38" customWidth="1"/>
    <col min="4615" max="4615" width="3.42578125" style="38" customWidth="1"/>
    <col min="4616" max="4864" width="11.42578125" style="38"/>
    <col min="4865" max="4865" width="3" style="38" customWidth="1"/>
    <col min="4866" max="4866" width="42.5703125" style="38" customWidth="1"/>
    <col min="4867" max="4867" width="25.7109375" style="38" customWidth="1"/>
    <col min="4868" max="4868" width="16.140625" style="38" customWidth="1"/>
    <col min="4869" max="4869" width="15.7109375" style="38" customWidth="1"/>
    <col min="4870" max="4870" width="14.28515625" style="38" customWidth="1"/>
    <col min="4871" max="4871" width="3.42578125" style="38" customWidth="1"/>
    <col min="4872" max="5120" width="11.42578125" style="38"/>
    <col min="5121" max="5121" width="3" style="38" customWidth="1"/>
    <col min="5122" max="5122" width="42.5703125" style="38" customWidth="1"/>
    <col min="5123" max="5123" width="25.7109375" style="38" customWidth="1"/>
    <col min="5124" max="5124" width="16.140625" style="38" customWidth="1"/>
    <col min="5125" max="5125" width="15.7109375" style="38" customWidth="1"/>
    <col min="5126" max="5126" width="14.28515625" style="38" customWidth="1"/>
    <col min="5127" max="5127" width="3.42578125" style="38" customWidth="1"/>
    <col min="5128" max="5376" width="11.42578125" style="38"/>
    <col min="5377" max="5377" width="3" style="38" customWidth="1"/>
    <col min="5378" max="5378" width="42.5703125" style="38" customWidth="1"/>
    <col min="5379" max="5379" width="25.7109375" style="38" customWidth="1"/>
    <col min="5380" max="5380" width="16.140625" style="38" customWidth="1"/>
    <col min="5381" max="5381" width="15.7109375" style="38" customWidth="1"/>
    <col min="5382" max="5382" width="14.28515625" style="38" customWidth="1"/>
    <col min="5383" max="5383" width="3.42578125" style="38" customWidth="1"/>
    <col min="5384" max="5632" width="11.42578125" style="38"/>
    <col min="5633" max="5633" width="3" style="38" customWidth="1"/>
    <col min="5634" max="5634" width="42.5703125" style="38" customWidth="1"/>
    <col min="5635" max="5635" width="25.7109375" style="38" customWidth="1"/>
    <col min="5636" max="5636" width="16.140625" style="38" customWidth="1"/>
    <col min="5637" max="5637" width="15.7109375" style="38" customWidth="1"/>
    <col min="5638" max="5638" width="14.28515625" style="38" customWidth="1"/>
    <col min="5639" max="5639" width="3.42578125" style="38" customWidth="1"/>
    <col min="5640" max="5888" width="11.42578125" style="38"/>
    <col min="5889" max="5889" width="3" style="38" customWidth="1"/>
    <col min="5890" max="5890" width="42.5703125" style="38" customWidth="1"/>
    <col min="5891" max="5891" width="25.7109375" style="38" customWidth="1"/>
    <col min="5892" max="5892" width="16.140625" style="38" customWidth="1"/>
    <col min="5893" max="5893" width="15.7109375" style="38" customWidth="1"/>
    <col min="5894" max="5894" width="14.28515625" style="38" customWidth="1"/>
    <col min="5895" max="5895" width="3.42578125" style="38" customWidth="1"/>
    <col min="5896" max="6144" width="11.42578125" style="38"/>
    <col min="6145" max="6145" width="3" style="38" customWidth="1"/>
    <col min="6146" max="6146" width="42.5703125" style="38" customWidth="1"/>
    <col min="6147" max="6147" width="25.7109375" style="38" customWidth="1"/>
    <col min="6148" max="6148" width="16.140625" style="38" customWidth="1"/>
    <col min="6149" max="6149" width="15.7109375" style="38" customWidth="1"/>
    <col min="6150" max="6150" width="14.28515625" style="38" customWidth="1"/>
    <col min="6151" max="6151" width="3.42578125" style="38" customWidth="1"/>
    <col min="6152" max="6400" width="11.42578125" style="38"/>
    <col min="6401" max="6401" width="3" style="38" customWidth="1"/>
    <col min="6402" max="6402" width="42.5703125" style="38" customWidth="1"/>
    <col min="6403" max="6403" width="25.7109375" style="38" customWidth="1"/>
    <col min="6404" max="6404" width="16.140625" style="38" customWidth="1"/>
    <col min="6405" max="6405" width="15.7109375" style="38" customWidth="1"/>
    <col min="6406" max="6406" width="14.28515625" style="38" customWidth="1"/>
    <col min="6407" max="6407" width="3.42578125" style="38" customWidth="1"/>
    <col min="6408" max="6656" width="11.42578125" style="38"/>
    <col min="6657" max="6657" width="3" style="38" customWidth="1"/>
    <col min="6658" max="6658" width="42.5703125" style="38" customWidth="1"/>
    <col min="6659" max="6659" width="25.7109375" style="38" customWidth="1"/>
    <col min="6660" max="6660" width="16.140625" style="38" customWidth="1"/>
    <col min="6661" max="6661" width="15.7109375" style="38" customWidth="1"/>
    <col min="6662" max="6662" width="14.28515625" style="38" customWidth="1"/>
    <col min="6663" max="6663" width="3.42578125" style="38" customWidth="1"/>
    <col min="6664" max="6912" width="11.42578125" style="38"/>
    <col min="6913" max="6913" width="3" style="38" customWidth="1"/>
    <col min="6914" max="6914" width="42.5703125" style="38" customWidth="1"/>
    <col min="6915" max="6915" width="25.7109375" style="38" customWidth="1"/>
    <col min="6916" max="6916" width="16.140625" style="38" customWidth="1"/>
    <col min="6917" max="6917" width="15.7109375" style="38" customWidth="1"/>
    <col min="6918" max="6918" width="14.28515625" style="38" customWidth="1"/>
    <col min="6919" max="6919" width="3.42578125" style="38" customWidth="1"/>
    <col min="6920" max="7168" width="11.42578125" style="38"/>
    <col min="7169" max="7169" width="3" style="38" customWidth="1"/>
    <col min="7170" max="7170" width="42.5703125" style="38" customWidth="1"/>
    <col min="7171" max="7171" width="25.7109375" style="38" customWidth="1"/>
    <col min="7172" max="7172" width="16.140625" style="38" customWidth="1"/>
    <col min="7173" max="7173" width="15.7109375" style="38" customWidth="1"/>
    <col min="7174" max="7174" width="14.28515625" style="38" customWidth="1"/>
    <col min="7175" max="7175" width="3.42578125" style="38" customWidth="1"/>
    <col min="7176" max="7424" width="11.42578125" style="38"/>
    <col min="7425" max="7425" width="3" style="38" customWidth="1"/>
    <col min="7426" max="7426" width="42.5703125" style="38" customWidth="1"/>
    <col min="7427" max="7427" width="25.7109375" style="38" customWidth="1"/>
    <col min="7428" max="7428" width="16.140625" style="38" customWidth="1"/>
    <col min="7429" max="7429" width="15.7109375" style="38" customWidth="1"/>
    <col min="7430" max="7430" width="14.28515625" style="38" customWidth="1"/>
    <col min="7431" max="7431" width="3.42578125" style="38" customWidth="1"/>
    <col min="7432" max="7680" width="11.42578125" style="38"/>
    <col min="7681" max="7681" width="3" style="38" customWidth="1"/>
    <col min="7682" max="7682" width="42.5703125" style="38" customWidth="1"/>
    <col min="7683" max="7683" width="25.7109375" style="38" customWidth="1"/>
    <col min="7684" max="7684" width="16.140625" style="38" customWidth="1"/>
    <col min="7685" max="7685" width="15.7109375" style="38" customWidth="1"/>
    <col min="7686" max="7686" width="14.28515625" style="38" customWidth="1"/>
    <col min="7687" max="7687" width="3.42578125" style="38" customWidth="1"/>
    <col min="7688" max="7936" width="11.42578125" style="38"/>
    <col min="7937" max="7937" width="3" style="38" customWidth="1"/>
    <col min="7938" max="7938" width="42.5703125" style="38" customWidth="1"/>
    <col min="7939" max="7939" width="25.7109375" style="38" customWidth="1"/>
    <col min="7940" max="7940" width="16.140625" style="38" customWidth="1"/>
    <col min="7941" max="7941" width="15.7109375" style="38" customWidth="1"/>
    <col min="7942" max="7942" width="14.28515625" style="38" customWidth="1"/>
    <col min="7943" max="7943" width="3.42578125" style="38" customWidth="1"/>
    <col min="7944" max="8192" width="11.42578125" style="38"/>
    <col min="8193" max="8193" width="3" style="38" customWidth="1"/>
    <col min="8194" max="8194" width="42.5703125" style="38" customWidth="1"/>
    <col min="8195" max="8195" width="25.7109375" style="38" customWidth="1"/>
    <col min="8196" max="8196" width="16.140625" style="38" customWidth="1"/>
    <col min="8197" max="8197" width="15.7109375" style="38" customWidth="1"/>
    <col min="8198" max="8198" width="14.28515625" style="38" customWidth="1"/>
    <col min="8199" max="8199" width="3.42578125" style="38" customWidth="1"/>
    <col min="8200" max="8448" width="11.42578125" style="38"/>
    <col min="8449" max="8449" width="3" style="38" customWidth="1"/>
    <col min="8450" max="8450" width="42.5703125" style="38" customWidth="1"/>
    <col min="8451" max="8451" width="25.7109375" style="38" customWidth="1"/>
    <col min="8452" max="8452" width="16.140625" style="38" customWidth="1"/>
    <col min="8453" max="8453" width="15.7109375" style="38" customWidth="1"/>
    <col min="8454" max="8454" width="14.28515625" style="38" customWidth="1"/>
    <col min="8455" max="8455" width="3.42578125" style="38" customWidth="1"/>
    <col min="8456" max="8704" width="11.42578125" style="38"/>
    <col min="8705" max="8705" width="3" style="38" customWidth="1"/>
    <col min="8706" max="8706" width="42.5703125" style="38" customWidth="1"/>
    <col min="8707" max="8707" width="25.7109375" style="38" customWidth="1"/>
    <col min="8708" max="8708" width="16.140625" style="38" customWidth="1"/>
    <col min="8709" max="8709" width="15.7109375" style="38" customWidth="1"/>
    <col min="8710" max="8710" width="14.28515625" style="38" customWidth="1"/>
    <col min="8711" max="8711" width="3.42578125" style="38" customWidth="1"/>
    <col min="8712" max="8960" width="11.42578125" style="38"/>
    <col min="8961" max="8961" width="3" style="38" customWidth="1"/>
    <col min="8962" max="8962" width="42.5703125" style="38" customWidth="1"/>
    <col min="8963" max="8963" width="25.7109375" style="38" customWidth="1"/>
    <col min="8964" max="8964" width="16.140625" style="38" customWidth="1"/>
    <col min="8965" max="8965" width="15.7109375" style="38" customWidth="1"/>
    <col min="8966" max="8966" width="14.28515625" style="38" customWidth="1"/>
    <col min="8967" max="8967" width="3.42578125" style="38" customWidth="1"/>
    <col min="8968" max="9216" width="11.42578125" style="38"/>
    <col min="9217" max="9217" width="3" style="38" customWidth="1"/>
    <col min="9218" max="9218" width="42.5703125" style="38" customWidth="1"/>
    <col min="9219" max="9219" width="25.7109375" style="38" customWidth="1"/>
    <col min="9220" max="9220" width="16.140625" style="38" customWidth="1"/>
    <col min="9221" max="9221" width="15.7109375" style="38" customWidth="1"/>
    <col min="9222" max="9222" width="14.28515625" style="38" customWidth="1"/>
    <col min="9223" max="9223" width="3.42578125" style="38" customWidth="1"/>
    <col min="9224" max="9472" width="11.42578125" style="38"/>
    <col min="9473" max="9473" width="3" style="38" customWidth="1"/>
    <col min="9474" max="9474" width="42.5703125" style="38" customWidth="1"/>
    <col min="9475" max="9475" width="25.7109375" style="38" customWidth="1"/>
    <col min="9476" max="9476" width="16.140625" style="38" customWidth="1"/>
    <col min="9477" max="9477" width="15.7109375" style="38" customWidth="1"/>
    <col min="9478" max="9478" width="14.28515625" style="38" customWidth="1"/>
    <col min="9479" max="9479" width="3.42578125" style="38" customWidth="1"/>
    <col min="9480" max="9728" width="11.42578125" style="38"/>
    <col min="9729" max="9729" width="3" style="38" customWidth="1"/>
    <col min="9730" max="9730" width="42.5703125" style="38" customWidth="1"/>
    <col min="9731" max="9731" width="25.7109375" style="38" customWidth="1"/>
    <col min="9732" max="9732" width="16.140625" style="38" customWidth="1"/>
    <col min="9733" max="9733" width="15.7109375" style="38" customWidth="1"/>
    <col min="9734" max="9734" width="14.28515625" style="38" customWidth="1"/>
    <col min="9735" max="9735" width="3.42578125" style="38" customWidth="1"/>
    <col min="9736" max="9984" width="11.42578125" style="38"/>
    <col min="9985" max="9985" width="3" style="38" customWidth="1"/>
    <col min="9986" max="9986" width="42.5703125" style="38" customWidth="1"/>
    <col min="9987" max="9987" width="25.7109375" style="38" customWidth="1"/>
    <col min="9988" max="9988" width="16.140625" style="38" customWidth="1"/>
    <col min="9989" max="9989" width="15.7109375" style="38" customWidth="1"/>
    <col min="9990" max="9990" width="14.28515625" style="38" customWidth="1"/>
    <col min="9991" max="9991" width="3.42578125" style="38" customWidth="1"/>
    <col min="9992" max="10240" width="11.42578125" style="38"/>
    <col min="10241" max="10241" width="3" style="38" customWidth="1"/>
    <col min="10242" max="10242" width="42.5703125" style="38" customWidth="1"/>
    <col min="10243" max="10243" width="25.7109375" style="38" customWidth="1"/>
    <col min="10244" max="10244" width="16.140625" style="38" customWidth="1"/>
    <col min="10245" max="10245" width="15.7109375" style="38" customWidth="1"/>
    <col min="10246" max="10246" width="14.28515625" style="38" customWidth="1"/>
    <col min="10247" max="10247" width="3.42578125" style="38" customWidth="1"/>
    <col min="10248" max="10496" width="11.42578125" style="38"/>
    <col min="10497" max="10497" width="3" style="38" customWidth="1"/>
    <col min="10498" max="10498" width="42.5703125" style="38" customWidth="1"/>
    <col min="10499" max="10499" width="25.7109375" style="38" customWidth="1"/>
    <col min="10500" max="10500" width="16.140625" style="38" customWidth="1"/>
    <col min="10501" max="10501" width="15.7109375" style="38" customWidth="1"/>
    <col min="10502" max="10502" width="14.28515625" style="38" customWidth="1"/>
    <col min="10503" max="10503" width="3.42578125" style="38" customWidth="1"/>
    <col min="10504" max="10752" width="11.42578125" style="38"/>
    <col min="10753" max="10753" width="3" style="38" customWidth="1"/>
    <col min="10754" max="10754" width="42.5703125" style="38" customWidth="1"/>
    <col min="10755" max="10755" width="25.7109375" style="38" customWidth="1"/>
    <col min="10756" max="10756" width="16.140625" style="38" customWidth="1"/>
    <col min="10757" max="10757" width="15.7109375" style="38" customWidth="1"/>
    <col min="10758" max="10758" width="14.28515625" style="38" customWidth="1"/>
    <col min="10759" max="10759" width="3.42578125" style="38" customWidth="1"/>
    <col min="10760" max="11008" width="11.42578125" style="38"/>
    <col min="11009" max="11009" width="3" style="38" customWidth="1"/>
    <col min="11010" max="11010" width="42.5703125" style="38" customWidth="1"/>
    <col min="11011" max="11011" width="25.7109375" style="38" customWidth="1"/>
    <col min="11012" max="11012" width="16.140625" style="38" customWidth="1"/>
    <col min="11013" max="11013" width="15.7109375" style="38" customWidth="1"/>
    <col min="11014" max="11014" width="14.28515625" style="38" customWidth="1"/>
    <col min="11015" max="11015" width="3.42578125" style="38" customWidth="1"/>
    <col min="11016" max="11264" width="11.42578125" style="38"/>
    <col min="11265" max="11265" width="3" style="38" customWidth="1"/>
    <col min="11266" max="11266" width="42.5703125" style="38" customWidth="1"/>
    <col min="11267" max="11267" width="25.7109375" style="38" customWidth="1"/>
    <col min="11268" max="11268" width="16.140625" style="38" customWidth="1"/>
    <col min="11269" max="11269" width="15.7109375" style="38" customWidth="1"/>
    <col min="11270" max="11270" width="14.28515625" style="38" customWidth="1"/>
    <col min="11271" max="11271" width="3.42578125" style="38" customWidth="1"/>
    <col min="11272" max="11520" width="11.42578125" style="38"/>
    <col min="11521" max="11521" width="3" style="38" customWidth="1"/>
    <col min="11522" max="11522" width="42.5703125" style="38" customWidth="1"/>
    <col min="11523" max="11523" width="25.7109375" style="38" customWidth="1"/>
    <col min="11524" max="11524" width="16.140625" style="38" customWidth="1"/>
    <col min="11525" max="11525" width="15.7109375" style="38" customWidth="1"/>
    <col min="11526" max="11526" width="14.28515625" style="38" customWidth="1"/>
    <col min="11527" max="11527" width="3.42578125" style="38" customWidth="1"/>
    <col min="11528" max="11776" width="11.42578125" style="38"/>
    <col min="11777" max="11777" width="3" style="38" customWidth="1"/>
    <col min="11778" max="11778" width="42.5703125" style="38" customWidth="1"/>
    <col min="11779" max="11779" width="25.7109375" style="38" customWidth="1"/>
    <col min="11780" max="11780" width="16.140625" style="38" customWidth="1"/>
    <col min="11781" max="11781" width="15.7109375" style="38" customWidth="1"/>
    <col min="11782" max="11782" width="14.28515625" style="38" customWidth="1"/>
    <col min="11783" max="11783" width="3.42578125" style="38" customWidth="1"/>
    <col min="11784" max="12032" width="11.42578125" style="38"/>
    <col min="12033" max="12033" width="3" style="38" customWidth="1"/>
    <col min="12034" max="12034" width="42.5703125" style="38" customWidth="1"/>
    <col min="12035" max="12035" width="25.7109375" style="38" customWidth="1"/>
    <col min="12036" max="12036" width="16.140625" style="38" customWidth="1"/>
    <col min="12037" max="12037" width="15.7109375" style="38" customWidth="1"/>
    <col min="12038" max="12038" width="14.28515625" style="38" customWidth="1"/>
    <col min="12039" max="12039" width="3.42578125" style="38" customWidth="1"/>
    <col min="12040" max="12288" width="11.42578125" style="38"/>
    <col min="12289" max="12289" width="3" style="38" customWidth="1"/>
    <col min="12290" max="12290" width="42.5703125" style="38" customWidth="1"/>
    <col min="12291" max="12291" width="25.7109375" style="38" customWidth="1"/>
    <col min="12292" max="12292" width="16.140625" style="38" customWidth="1"/>
    <col min="12293" max="12293" width="15.7109375" style="38" customWidth="1"/>
    <col min="12294" max="12294" width="14.28515625" style="38" customWidth="1"/>
    <col min="12295" max="12295" width="3.42578125" style="38" customWidth="1"/>
    <col min="12296" max="12544" width="11.42578125" style="38"/>
    <col min="12545" max="12545" width="3" style="38" customWidth="1"/>
    <col min="12546" max="12546" width="42.5703125" style="38" customWidth="1"/>
    <col min="12547" max="12547" width="25.7109375" style="38" customWidth="1"/>
    <col min="12548" max="12548" width="16.140625" style="38" customWidth="1"/>
    <col min="12549" max="12549" width="15.7109375" style="38" customWidth="1"/>
    <col min="12550" max="12550" width="14.28515625" style="38" customWidth="1"/>
    <col min="12551" max="12551" width="3.42578125" style="38" customWidth="1"/>
    <col min="12552" max="12800" width="11.42578125" style="38"/>
    <col min="12801" max="12801" width="3" style="38" customWidth="1"/>
    <col min="12802" max="12802" width="42.5703125" style="38" customWidth="1"/>
    <col min="12803" max="12803" width="25.7109375" style="38" customWidth="1"/>
    <col min="12804" max="12804" width="16.140625" style="38" customWidth="1"/>
    <col min="12805" max="12805" width="15.7109375" style="38" customWidth="1"/>
    <col min="12806" max="12806" width="14.28515625" style="38" customWidth="1"/>
    <col min="12807" max="12807" width="3.42578125" style="38" customWidth="1"/>
    <col min="12808" max="13056" width="11.42578125" style="38"/>
    <col min="13057" max="13057" width="3" style="38" customWidth="1"/>
    <col min="13058" max="13058" width="42.5703125" style="38" customWidth="1"/>
    <col min="13059" max="13059" width="25.7109375" style="38" customWidth="1"/>
    <col min="13060" max="13060" width="16.140625" style="38" customWidth="1"/>
    <col min="13061" max="13061" width="15.7109375" style="38" customWidth="1"/>
    <col min="13062" max="13062" width="14.28515625" style="38" customWidth="1"/>
    <col min="13063" max="13063" width="3.42578125" style="38" customWidth="1"/>
    <col min="13064" max="13312" width="11.42578125" style="38"/>
    <col min="13313" max="13313" width="3" style="38" customWidth="1"/>
    <col min="13314" max="13314" width="42.5703125" style="38" customWidth="1"/>
    <col min="13315" max="13315" width="25.7109375" style="38" customWidth="1"/>
    <col min="13316" max="13316" width="16.140625" style="38" customWidth="1"/>
    <col min="13317" max="13317" width="15.7109375" style="38" customWidth="1"/>
    <col min="13318" max="13318" width="14.28515625" style="38" customWidth="1"/>
    <col min="13319" max="13319" width="3.42578125" style="38" customWidth="1"/>
    <col min="13320" max="13568" width="11.42578125" style="38"/>
    <col min="13569" max="13569" width="3" style="38" customWidth="1"/>
    <col min="13570" max="13570" width="42.5703125" style="38" customWidth="1"/>
    <col min="13571" max="13571" width="25.7109375" style="38" customWidth="1"/>
    <col min="13572" max="13572" width="16.140625" style="38" customWidth="1"/>
    <col min="13573" max="13573" width="15.7109375" style="38" customWidth="1"/>
    <col min="13574" max="13574" width="14.28515625" style="38" customWidth="1"/>
    <col min="13575" max="13575" width="3.42578125" style="38" customWidth="1"/>
    <col min="13576" max="13824" width="11.42578125" style="38"/>
    <col min="13825" max="13825" width="3" style="38" customWidth="1"/>
    <col min="13826" max="13826" width="42.5703125" style="38" customWidth="1"/>
    <col min="13827" max="13827" width="25.7109375" style="38" customWidth="1"/>
    <col min="13828" max="13828" width="16.140625" style="38" customWidth="1"/>
    <col min="13829" max="13829" width="15.7109375" style="38" customWidth="1"/>
    <col min="13830" max="13830" width="14.28515625" style="38" customWidth="1"/>
    <col min="13831" max="13831" width="3.42578125" style="38" customWidth="1"/>
    <col min="13832" max="14080" width="11.42578125" style="38"/>
    <col min="14081" max="14081" width="3" style="38" customWidth="1"/>
    <col min="14082" max="14082" width="42.5703125" style="38" customWidth="1"/>
    <col min="14083" max="14083" width="25.7109375" style="38" customWidth="1"/>
    <col min="14084" max="14084" width="16.140625" style="38" customWidth="1"/>
    <col min="14085" max="14085" width="15.7109375" style="38" customWidth="1"/>
    <col min="14086" max="14086" width="14.28515625" style="38" customWidth="1"/>
    <col min="14087" max="14087" width="3.42578125" style="38" customWidth="1"/>
    <col min="14088" max="14336" width="11.42578125" style="38"/>
    <col min="14337" max="14337" width="3" style="38" customWidth="1"/>
    <col min="14338" max="14338" width="42.5703125" style="38" customWidth="1"/>
    <col min="14339" max="14339" width="25.7109375" style="38" customWidth="1"/>
    <col min="14340" max="14340" width="16.140625" style="38" customWidth="1"/>
    <col min="14341" max="14341" width="15.7109375" style="38" customWidth="1"/>
    <col min="14342" max="14342" width="14.28515625" style="38" customWidth="1"/>
    <col min="14343" max="14343" width="3.42578125" style="38" customWidth="1"/>
    <col min="14344" max="14592" width="11.42578125" style="38"/>
    <col min="14593" max="14593" width="3" style="38" customWidth="1"/>
    <col min="14594" max="14594" width="42.5703125" style="38" customWidth="1"/>
    <col min="14595" max="14595" width="25.7109375" style="38" customWidth="1"/>
    <col min="14596" max="14596" width="16.140625" style="38" customWidth="1"/>
    <col min="14597" max="14597" width="15.7109375" style="38" customWidth="1"/>
    <col min="14598" max="14598" width="14.28515625" style="38" customWidth="1"/>
    <col min="14599" max="14599" width="3.42578125" style="38" customWidth="1"/>
    <col min="14600" max="14848" width="11.42578125" style="38"/>
    <col min="14849" max="14849" width="3" style="38" customWidth="1"/>
    <col min="14850" max="14850" width="42.5703125" style="38" customWidth="1"/>
    <col min="14851" max="14851" width="25.7109375" style="38" customWidth="1"/>
    <col min="14852" max="14852" width="16.140625" style="38" customWidth="1"/>
    <col min="14853" max="14853" width="15.7109375" style="38" customWidth="1"/>
    <col min="14854" max="14854" width="14.28515625" style="38" customWidth="1"/>
    <col min="14855" max="14855" width="3.42578125" style="38" customWidth="1"/>
    <col min="14856" max="15104" width="11.42578125" style="38"/>
    <col min="15105" max="15105" width="3" style="38" customWidth="1"/>
    <col min="15106" max="15106" width="42.5703125" style="38" customWidth="1"/>
    <col min="15107" max="15107" width="25.7109375" style="38" customWidth="1"/>
    <col min="15108" max="15108" width="16.140625" style="38" customWidth="1"/>
    <col min="15109" max="15109" width="15.7109375" style="38" customWidth="1"/>
    <col min="15110" max="15110" width="14.28515625" style="38" customWidth="1"/>
    <col min="15111" max="15111" width="3.42578125" style="38" customWidth="1"/>
    <col min="15112" max="15360" width="11.42578125" style="38"/>
    <col min="15361" max="15361" width="3" style="38" customWidth="1"/>
    <col min="15362" max="15362" width="42.5703125" style="38" customWidth="1"/>
    <col min="15363" max="15363" width="25.7109375" style="38" customWidth="1"/>
    <col min="15364" max="15364" width="16.140625" style="38" customWidth="1"/>
    <col min="15365" max="15365" width="15.7109375" style="38" customWidth="1"/>
    <col min="15366" max="15366" width="14.28515625" style="38" customWidth="1"/>
    <col min="15367" max="15367" width="3.42578125" style="38" customWidth="1"/>
    <col min="15368" max="15616" width="11.42578125" style="38"/>
    <col min="15617" max="15617" width="3" style="38" customWidth="1"/>
    <col min="15618" max="15618" width="42.5703125" style="38" customWidth="1"/>
    <col min="15619" max="15619" width="25.7109375" style="38" customWidth="1"/>
    <col min="15620" max="15620" width="16.140625" style="38" customWidth="1"/>
    <col min="15621" max="15621" width="15.7109375" style="38" customWidth="1"/>
    <col min="15622" max="15622" width="14.28515625" style="38" customWidth="1"/>
    <col min="15623" max="15623" width="3.42578125" style="38" customWidth="1"/>
    <col min="15624" max="15872" width="11.42578125" style="38"/>
    <col min="15873" max="15873" width="3" style="38" customWidth="1"/>
    <col min="15874" max="15874" width="42.5703125" style="38" customWidth="1"/>
    <col min="15875" max="15875" width="25.7109375" style="38" customWidth="1"/>
    <col min="15876" max="15876" width="16.140625" style="38" customWidth="1"/>
    <col min="15877" max="15877" width="15.7109375" style="38" customWidth="1"/>
    <col min="15878" max="15878" width="14.28515625" style="38" customWidth="1"/>
    <col min="15879" max="15879" width="3.42578125" style="38" customWidth="1"/>
    <col min="15880" max="16128" width="11.42578125" style="38"/>
    <col min="16129" max="16129" width="3" style="38" customWidth="1"/>
    <col min="16130" max="16130" width="42.5703125" style="38" customWidth="1"/>
    <col min="16131" max="16131" width="25.7109375" style="38" customWidth="1"/>
    <col min="16132" max="16132" width="16.140625" style="38" customWidth="1"/>
    <col min="16133" max="16133" width="15.7109375" style="38" customWidth="1"/>
    <col min="16134" max="16134" width="14.28515625" style="38" customWidth="1"/>
    <col min="16135" max="16135" width="3.42578125" style="38" customWidth="1"/>
    <col min="16136" max="16384" width="11.42578125" style="38"/>
  </cols>
  <sheetData>
    <row r="1" spans="2:6" ht="13.5" thickBot="1" x14ac:dyDescent="0.25"/>
    <row r="2" spans="2:6" ht="13.5" thickBot="1" x14ac:dyDescent="0.25">
      <c r="B2" s="39" t="s">
        <v>239</v>
      </c>
      <c r="C2" s="40"/>
      <c r="D2" s="40"/>
      <c r="E2" s="40"/>
      <c r="F2" s="41"/>
    </row>
    <row r="3" spans="2:6" ht="13.5" thickBot="1" x14ac:dyDescent="0.25"/>
    <row r="4" spans="2:6" ht="13.5" thickBot="1" x14ac:dyDescent="0.25">
      <c r="B4" s="42" t="s">
        <v>281</v>
      </c>
      <c r="C4" s="44"/>
      <c r="D4" s="44"/>
      <c r="E4" s="44"/>
      <c r="F4" s="45"/>
    </row>
    <row r="5" spans="2:6" x14ac:dyDescent="0.2">
      <c r="B5" s="46"/>
      <c r="F5" s="47"/>
    </row>
    <row r="6" spans="2:6" x14ac:dyDescent="0.2">
      <c r="B6" s="48" t="s">
        <v>282</v>
      </c>
      <c r="C6" s="52">
        <f>'EGR 1-copiar en word 0 EGR'!C12+'EGR 1-copiar en word 0 EGR'!C23+'EGR 1-copiar en word 0 EGR'!C34+'EGR 1-copiar en word 0 EGR'!C45+'EGR 1-copiar en word 0 EGR'!C57+'EGR 1-copiar en word 0 EGR'!C65+'EGR 1-copiar en word 0 EGR'!C76+'EGR 1-copiar en word 0 EGR'!C83+'EGR 1-copiar en word 0 EGR'!C97+'EGR 1-copiar en word 0 EGR'!C104</f>
        <v>106.7998644</v>
      </c>
      <c r="D6" s="50" t="s">
        <v>249</v>
      </c>
      <c r="E6" s="50"/>
      <c r="F6" s="51"/>
    </row>
    <row r="7" spans="2:6" x14ac:dyDescent="0.2">
      <c r="B7" s="48" t="s">
        <v>283</v>
      </c>
      <c r="C7" s="56">
        <v>1.1000000000000001</v>
      </c>
      <c r="D7" s="50" t="s">
        <v>284</v>
      </c>
      <c r="E7" s="50"/>
      <c r="F7" s="51"/>
    </row>
    <row r="8" spans="2:6" x14ac:dyDescent="0.2">
      <c r="B8" s="48" t="s">
        <v>285</v>
      </c>
      <c r="C8" s="52">
        <f>C6*C7</f>
        <v>117.47985084000001</v>
      </c>
      <c r="D8" s="50" t="s">
        <v>286</v>
      </c>
      <c r="E8" s="50"/>
      <c r="F8" s="51"/>
    </row>
    <row r="9" spans="2:6" x14ac:dyDescent="0.2">
      <c r="B9" s="46"/>
      <c r="C9" s="59"/>
      <c r="F9" s="47"/>
    </row>
    <row r="10" spans="2:6" ht="25.5" x14ac:dyDescent="0.2">
      <c r="B10" s="60" t="s">
        <v>287</v>
      </c>
      <c r="C10" s="61">
        <f>'EGR 1-copiar en word 0 EGR'!C11+'EGR 1-copiar en word 0 EGR'!C22+'EGR 1-copiar en word 0 EGR'!C33++'EGR 1-copiar en word 0 EGR'!C44+'EGR 1-copiar en word 0 EGR'!C56+'EGR 1-copiar en word 0 EGR'!C64+'EGR 1-copiar en word 0 EGR'!C75+'EGR 1-copiar en word 0 EGR'!C82+'EGR 1-copiar en word 0 EGR'!C96+'EGR 1-copiar en word 0 EGR'!C103</f>
        <v>961.19877960000008</v>
      </c>
      <c r="D10" s="62" t="s">
        <v>249</v>
      </c>
      <c r="E10" s="62"/>
      <c r="F10" s="63"/>
    </row>
    <row r="11" spans="2:6" x14ac:dyDescent="0.2">
      <c r="B11" s="60" t="s">
        <v>288</v>
      </c>
      <c r="C11" s="64">
        <f>+'PRESUPUESTO P'!C160+'PRESUPUESTO P'!C165</f>
        <v>423703.70874999999</v>
      </c>
      <c r="D11" s="62" t="s">
        <v>289</v>
      </c>
      <c r="E11" s="62"/>
      <c r="F11" s="63"/>
    </row>
    <row r="12" spans="2:6" ht="26.25" thickBot="1" x14ac:dyDescent="0.25">
      <c r="B12" s="65" t="s">
        <v>290</v>
      </c>
      <c r="C12" s="66">
        <f>0.015*C11</f>
        <v>6355.5556312499994</v>
      </c>
      <c r="D12" s="67" t="s">
        <v>289</v>
      </c>
      <c r="E12" s="67"/>
      <c r="F12" s="68"/>
    </row>
    <row r="13" spans="2:6" ht="13.5" thickBot="1" x14ac:dyDescent="0.25">
      <c r="C13" s="59"/>
    </row>
    <row r="14" spans="2:6" ht="13.5" thickBot="1" x14ac:dyDescent="0.25">
      <c r="B14" s="305" t="s">
        <v>291</v>
      </c>
      <c r="C14" s="306"/>
      <c r="D14" s="306"/>
      <c r="E14" s="44"/>
      <c r="F14" s="45"/>
    </row>
    <row r="15" spans="2:6" ht="18" x14ac:dyDescent="0.25">
      <c r="B15" s="46"/>
      <c r="C15" s="69"/>
      <c r="D15" s="69" t="s">
        <v>286</v>
      </c>
      <c r="E15" s="69" t="s">
        <v>292</v>
      </c>
      <c r="F15" s="70" t="s">
        <v>293</v>
      </c>
    </row>
    <row r="16" spans="2:6" ht="25.5" x14ac:dyDescent="0.2">
      <c r="B16" s="71" t="s">
        <v>294</v>
      </c>
      <c r="C16" s="72"/>
      <c r="D16" s="72" t="s">
        <v>295</v>
      </c>
      <c r="E16" s="72" t="s">
        <v>296</v>
      </c>
      <c r="F16" s="73" t="s">
        <v>297</v>
      </c>
    </row>
    <row r="17" spans="2:7" x14ac:dyDescent="0.2">
      <c r="B17" s="307" t="s">
        <v>298</v>
      </c>
      <c r="C17" s="308"/>
      <c r="D17" s="74"/>
      <c r="E17" s="74"/>
      <c r="F17" s="75"/>
    </row>
    <row r="18" spans="2:7" ht="51.75" thickBot="1" x14ac:dyDescent="0.25">
      <c r="B18" s="65" t="s">
        <v>299</v>
      </c>
      <c r="C18" s="76"/>
      <c r="D18" s="77">
        <f>F18*E18</f>
        <v>1441.7981694</v>
      </c>
      <c r="E18" s="77">
        <v>1.5</v>
      </c>
      <c r="F18" s="78">
        <f>C10</f>
        <v>961.19877960000008</v>
      </c>
    </row>
    <row r="19" spans="2:7" ht="13.5" thickBot="1" x14ac:dyDescent="0.25"/>
    <row r="20" spans="2:7" ht="13.5" thickBot="1" x14ac:dyDescent="0.25">
      <c r="B20" s="305" t="s">
        <v>300</v>
      </c>
      <c r="C20" s="306"/>
      <c r="D20" s="306"/>
      <c r="E20" s="44"/>
      <c r="F20" s="45"/>
    </row>
    <row r="21" spans="2:7" ht="18" x14ac:dyDescent="0.25">
      <c r="B21" s="46"/>
      <c r="C21" s="69" t="s">
        <v>301</v>
      </c>
      <c r="D21" s="69" t="s">
        <v>286</v>
      </c>
      <c r="E21" s="69" t="s">
        <v>292</v>
      </c>
      <c r="F21" s="70" t="s">
        <v>293</v>
      </c>
    </row>
    <row r="22" spans="2:7" ht="26.25" thickBot="1" x14ac:dyDescent="0.25">
      <c r="B22" s="71" t="s">
        <v>294</v>
      </c>
      <c r="C22" s="72" t="s">
        <v>302</v>
      </c>
      <c r="D22" s="72" t="s">
        <v>303</v>
      </c>
      <c r="E22" s="72" t="s">
        <v>296</v>
      </c>
      <c r="F22" s="73" t="s">
        <v>304</v>
      </c>
      <c r="G22" s="79"/>
    </row>
    <row r="23" spans="2:7" x14ac:dyDescent="0.2">
      <c r="B23" s="80" t="s">
        <v>305</v>
      </c>
      <c r="C23" s="81"/>
      <c r="D23" s="81"/>
      <c r="E23" s="81"/>
      <c r="F23" s="82"/>
    </row>
    <row r="24" spans="2:7" x14ac:dyDescent="0.2">
      <c r="B24" s="83" t="s">
        <v>306</v>
      </c>
      <c r="C24" s="84">
        <v>0.05</v>
      </c>
      <c r="D24" s="85">
        <f t="shared" ref="D24:D31" si="0">$C$8*C24</f>
        <v>5.8739925420000008</v>
      </c>
      <c r="E24" s="85">
        <v>1.3</v>
      </c>
      <c r="F24" s="86">
        <f>D24/E24</f>
        <v>4.5184558015384617</v>
      </c>
    </row>
    <row r="25" spans="2:7" x14ac:dyDescent="0.2">
      <c r="B25" s="83" t="s">
        <v>307</v>
      </c>
      <c r="C25" s="84">
        <v>0.04</v>
      </c>
      <c r="D25" s="85">
        <f t="shared" si="0"/>
        <v>4.6991940336000004</v>
      </c>
      <c r="E25" s="85">
        <v>0.6</v>
      </c>
      <c r="F25" s="86">
        <f t="shared" ref="F25:F30" si="1">D25/E25</f>
        <v>7.8319900560000013</v>
      </c>
    </row>
    <row r="26" spans="2:7" x14ac:dyDescent="0.2">
      <c r="B26" s="83" t="s">
        <v>308</v>
      </c>
      <c r="C26" s="84">
        <v>2.5000000000000001E-2</v>
      </c>
      <c r="D26" s="85">
        <f t="shared" si="0"/>
        <v>2.9369962710000004</v>
      </c>
      <c r="E26" s="85">
        <v>1.5</v>
      </c>
      <c r="F26" s="86">
        <f t="shared" si="1"/>
        <v>1.9579975140000003</v>
      </c>
    </row>
    <row r="27" spans="2:7" x14ac:dyDescent="0.2">
      <c r="B27" s="83" t="s">
        <v>309</v>
      </c>
      <c r="C27" s="84">
        <v>3.0000000000000001E-3</v>
      </c>
      <c r="D27" s="85">
        <f t="shared" si="0"/>
        <v>0.35243955252000003</v>
      </c>
      <c r="E27" s="85">
        <v>0.9</v>
      </c>
      <c r="F27" s="86">
        <f t="shared" si="1"/>
        <v>0.3915995028</v>
      </c>
    </row>
    <row r="28" spans="2:7" x14ac:dyDescent="0.2">
      <c r="B28" s="83" t="s">
        <v>310</v>
      </c>
      <c r="C28" s="84">
        <v>1.4999999999999999E-2</v>
      </c>
      <c r="D28" s="85">
        <f t="shared" si="0"/>
        <v>1.7621977626000001</v>
      </c>
      <c r="E28" s="85">
        <v>0.9</v>
      </c>
      <c r="F28" s="86">
        <f t="shared" si="1"/>
        <v>1.9579975140000001</v>
      </c>
    </row>
    <row r="29" spans="2:7" x14ac:dyDescent="0.2">
      <c r="B29" s="83" t="s">
        <v>311</v>
      </c>
      <c r="C29" s="84">
        <v>5.0000000000000001E-3</v>
      </c>
      <c r="D29" s="85">
        <f t="shared" si="0"/>
        <v>0.58739925420000005</v>
      </c>
      <c r="E29" s="85">
        <v>1.5</v>
      </c>
      <c r="F29" s="86">
        <f t="shared" si="1"/>
        <v>0.39159950280000005</v>
      </c>
    </row>
    <row r="30" spans="2:7" x14ac:dyDescent="0.2">
      <c r="B30" s="83" t="s">
        <v>312</v>
      </c>
      <c r="C30" s="84">
        <v>2E-3</v>
      </c>
      <c r="D30" s="85">
        <f t="shared" si="0"/>
        <v>0.23495970168000002</v>
      </c>
      <c r="E30" s="85">
        <v>1.2</v>
      </c>
      <c r="F30" s="86">
        <f t="shared" si="1"/>
        <v>0.19579975140000003</v>
      </c>
    </row>
    <row r="31" spans="2:7" ht="13.5" thickBot="1" x14ac:dyDescent="0.25">
      <c r="B31" s="87" t="s">
        <v>313</v>
      </c>
      <c r="C31" s="88">
        <f>SUM(C24:C30)</f>
        <v>0.14000000000000001</v>
      </c>
      <c r="D31" s="89">
        <f t="shared" si="0"/>
        <v>16.447179117600005</v>
      </c>
      <c r="E31" s="90"/>
      <c r="F31" s="91">
        <f>SUM(F24:F30)</f>
        <v>17.245439642538461</v>
      </c>
    </row>
    <row r="32" spans="2:7" ht="13.5" thickBot="1" x14ac:dyDescent="0.25">
      <c r="B32" s="46"/>
      <c r="C32" s="92"/>
      <c r="F32" s="47"/>
    </row>
    <row r="33" spans="2:6" x14ac:dyDescent="0.2">
      <c r="B33" s="80" t="s">
        <v>314</v>
      </c>
      <c r="C33" s="93"/>
      <c r="D33" s="81"/>
      <c r="E33" s="81"/>
      <c r="F33" s="82"/>
    </row>
    <row r="34" spans="2:6" x14ac:dyDescent="0.2">
      <c r="B34" s="83" t="s">
        <v>315</v>
      </c>
      <c r="C34" s="94">
        <v>0.04</v>
      </c>
      <c r="D34" s="85">
        <f>$C$8*C34</f>
        <v>4.6991940336000004</v>
      </c>
      <c r="E34" s="85">
        <v>1.5</v>
      </c>
      <c r="F34" s="86">
        <f>D34/E34</f>
        <v>3.1327960224000004</v>
      </c>
    </row>
    <row r="35" spans="2:6" x14ac:dyDescent="0.2">
      <c r="B35" s="83" t="s">
        <v>316</v>
      </c>
      <c r="C35" s="84">
        <v>0.12</v>
      </c>
      <c r="D35" s="85">
        <f>$C$8*C35</f>
        <v>14.0975821008</v>
      </c>
      <c r="E35" s="85">
        <v>1.5</v>
      </c>
      <c r="F35" s="86">
        <f>D35/E35</f>
        <v>9.3983880672000009</v>
      </c>
    </row>
    <row r="36" spans="2:6" x14ac:dyDescent="0.2">
      <c r="B36" s="83" t="s">
        <v>317</v>
      </c>
      <c r="C36" s="84">
        <v>0.54</v>
      </c>
      <c r="D36" s="85">
        <f>$C$8*C36</f>
        <v>63.439119453600007</v>
      </c>
      <c r="E36" s="85">
        <v>1.5</v>
      </c>
      <c r="F36" s="86">
        <f>D36/E36</f>
        <v>42.292746302400005</v>
      </c>
    </row>
    <row r="37" spans="2:6" x14ac:dyDescent="0.2">
      <c r="B37" s="83" t="s">
        <v>318</v>
      </c>
      <c r="C37" s="84">
        <v>0.05</v>
      </c>
      <c r="D37" s="85">
        <f>$C$8*C37</f>
        <v>5.8739925420000008</v>
      </c>
      <c r="E37" s="85">
        <v>1.5</v>
      </c>
      <c r="F37" s="86">
        <f>D37/E37</f>
        <v>3.9159950280000007</v>
      </c>
    </row>
    <row r="38" spans="2:6" ht="13.5" thickBot="1" x14ac:dyDescent="0.25">
      <c r="B38" s="87" t="s">
        <v>313</v>
      </c>
      <c r="C38" s="88">
        <f>SUM(C34:C37)</f>
        <v>0.75000000000000011</v>
      </c>
      <c r="D38" s="89">
        <f>$C$8*C38</f>
        <v>88.109888130000016</v>
      </c>
      <c r="E38" s="90"/>
      <c r="F38" s="91">
        <f>SUM(F34:F37)</f>
        <v>58.739925420000006</v>
      </c>
    </row>
    <row r="39" spans="2:6" ht="13.5" thickBot="1" x14ac:dyDescent="0.25">
      <c r="B39" s="46"/>
      <c r="C39" s="92"/>
      <c r="F39" s="47"/>
    </row>
    <row r="40" spans="2:6" x14ac:dyDescent="0.2">
      <c r="B40" s="80" t="s">
        <v>319</v>
      </c>
      <c r="C40" s="93"/>
      <c r="D40" s="81"/>
      <c r="E40" s="81"/>
      <c r="F40" s="82"/>
    </row>
    <row r="41" spans="2:6" x14ac:dyDescent="0.2">
      <c r="B41" s="83" t="s">
        <v>320</v>
      </c>
      <c r="C41" s="84">
        <v>7.0000000000000007E-2</v>
      </c>
      <c r="D41" s="85">
        <f>$C$8*C41</f>
        <v>8.2235895588000023</v>
      </c>
      <c r="E41" s="85">
        <v>0.9</v>
      </c>
      <c r="F41" s="86">
        <f>D41/E41</f>
        <v>9.137321732000002</v>
      </c>
    </row>
    <row r="42" spans="2:6" x14ac:dyDescent="0.2">
      <c r="B42" s="83" t="s">
        <v>321</v>
      </c>
      <c r="C42" s="84">
        <v>0.04</v>
      </c>
      <c r="D42" s="85">
        <f>$C$8*C42</f>
        <v>4.6991940336000004</v>
      </c>
      <c r="E42" s="85">
        <v>0.5</v>
      </c>
      <c r="F42" s="86">
        <f>D42/E42</f>
        <v>9.3983880672000009</v>
      </c>
    </row>
    <row r="43" spans="2:6" ht="13.5" thickBot="1" x14ac:dyDescent="0.25">
      <c r="B43" s="87" t="s">
        <v>313</v>
      </c>
      <c r="C43" s="88">
        <f>C41+C42</f>
        <v>0.11000000000000001</v>
      </c>
      <c r="D43" s="89">
        <f>$C$8*C43</f>
        <v>12.922783592400004</v>
      </c>
      <c r="E43" s="90"/>
      <c r="F43" s="91">
        <f>SUM(F41:F42)</f>
        <v>18.535709799200003</v>
      </c>
    </row>
    <row r="44" spans="2:6" ht="13.5" thickBot="1" x14ac:dyDescent="0.25">
      <c r="C44" s="88">
        <f>C31+C38+C43</f>
        <v>1.0000000000000002</v>
      </c>
      <c r="D44" s="89">
        <f>D31+D38+D43</f>
        <v>117.47985084000003</v>
      </c>
    </row>
  </sheetData>
  <mergeCells count="3">
    <mergeCell ref="B14:D14"/>
    <mergeCell ref="B17:C17"/>
    <mergeCell ref="B20:D20"/>
  </mergeCells>
  <pageMargins left="0.75" right="0.75" top="1" bottom="1" header="0" footer="0"/>
  <pageSetup paperSize="9" scale="46"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D8872-8453-455A-A3F6-0FC7102EC700}">
  <sheetPr>
    <tabColor rgb="FFFFFF00"/>
  </sheetPr>
  <dimension ref="A1:M93"/>
  <sheetViews>
    <sheetView topLeftCell="A70" zoomScaleNormal="100" zoomScaleSheetLayoutView="100" workbookViewId="0">
      <selection activeCell="H91" sqref="B2:H91"/>
    </sheetView>
  </sheetViews>
  <sheetFormatPr baseColWidth="10" defaultRowHeight="12.75" x14ac:dyDescent="0.2"/>
  <cols>
    <col min="1" max="1" width="2.140625" style="38" customWidth="1"/>
    <col min="2" max="2" width="4" style="133" customWidth="1"/>
    <col min="3" max="3" width="11.85546875" style="38" customWidth="1"/>
    <col min="4" max="4" width="72.85546875" style="134" customWidth="1"/>
    <col min="5" max="5" width="1.7109375" style="132" customWidth="1"/>
    <col min="6" max="6" width="20.28515625" style="38" customWidth="1"/>
    <col min="7" max="7" width="21.140625" style="38" customWidth="1"/>
    <col min="8" max="8" width="9.85546875" style="38" customWidth="1"/>
    <col min="9" max="9" width="3" style="38" customWidth="1"/>
    <col min="10" max="10" width="22" style="197" hidden="1" customWidth="1"/>
    <col min="11" max="256" width="11.42578125" style="38"/>
    <col min="257" max="257" width="2.140625" style="38" customWidth="1"/>
    <col min="258" max="258" width="4" style="38" customWidth="1"/>
    <col min="259" max="259" width="11.85546875" style="38" customWidth="1"/>
    <col min="260" max="260" width="72.85546875" style="38" customWidth="1"/>
    <col min="261" max="261" width="1.7109375" style="38" customWidth="1"/>
    <col min="262" max="262" width="20.28515625" style="38" customWidth="1"/>
    <col min="263" max="263" width="21.140625" style="38" customWidth="1"/>
    <col min="264" max="264" width="9.85546875" style="38" customWidth="1"/>
    <col min="265" max="265" width="3" style="38" customWidth="1"/>
    <col min="266" max="266" width="22" style="38" customWidth="1"/>
    <col min="267" max="512" width="11.42578125" style="38"/>
    <col min="513" max="513" width="2.140625" style="38" customWidth="1"/>
    <col min="514" max="514" width="4" style="38" customWidth="1"/>
    <col min="515" max="515" width="11.85546875" style="38" customWidth="1"/>
    <col min="516" max="516" width="72.85546875" style="38" customWidth="1"/>
    <col min="517" max="517" width="1.7109375" style="38" customWidth="1"/>
    <col min="518" max="518" width="20.28515625" style="38" customWidth="1"/>
    <col min="519" max="519" width="21.140625" style="38" customWidth="1"/>
    <col min="520" max="520" width="9.85546875" style="38" customWidth="1"/>
    <col min="521" max="521" width="3" style="38" customWidth="1"/>
    <col min="522" max="522" width="22" style="38" customWidth="1"/>
    <col min="523" max="768" width="11.42578125" style="38"/>
    <col min="769" max="769" width="2.140625" style="38" customWidth="1"/>
    <col min="770" max="770" width="4" style="38" customWidth="1"/>
    <col min="771" max="771" width="11.85546875" style="38" customWidth="1"/>
    <col min="772" max="772" width="72.85546875" style="38" customWidth="1"/>
    <col min="773" max="773" width="1.7109375" style="38" customWidth="1"/>
    <col min="774" max="774" width="20.28515625" style="38" customWidth="1"/>
    <col min="775" max="775" width="21.140625" style="38" customWidth="1"/>
    <col min="776" max="776" width="9.85546875" style="38" customWidth="1"/>
    <col min="777" max="777" width="3" style="38" customWidth="1"/>
    <col min="778" max="778" width="22" style="38" customWidth="1"/>
    <col min="779" max="1024" width="11.42578125" style="38"/>
    <col min="1025" max="1025" width="2.140625" style="38" customWidth="1"/>
    <col min="1026" max="1026" width="4" style="38" customWidth="1"/>
    <col min="1027" max="1027" width="11.85546875" style="38" customWidth="1"/>
    <col min="1028" max="1028" width="72.85546875" style="38" customWidth="1"/>
    <col min="1029" max="1029" width="1.7109375" style="38" customWidth="1"/>
    <col min="1030" max="1030" width="20.28515625" style="38" customWidth="1"/>
    <col min="1031" max="1031" width="21.140625" style="38" customWidth="1"/>
    <col min="1032" max="1032" width="9.85546875" style="38" customWidth="1"/>
    <col min="1033" max="1033" width="3" style="38" customWidth="1"/>
    <col min="1034" max="1034" width="22" style="38" customWidth="1"/>
    <col min="1035" max="1280" width="11.42578125" style="38"/>
    <col min="1281" max="1281" width="2.140625" style="38" customWidth="1"/>
    <col min="1282" max="1282" width="4" style="38" customWidth="1"/>
    <col min="1283" max="1283" width="11.85546875" style="38" customWidth="1"/>
    <col min="1284" max="1284" width="72.85546875" style="38" customWidth="1"/>
    <col min="1285" max="1285" width="1.7109375" style="38" customWidth="1"/>
    <col min="1286" max="1286" width="20.28515625" style="38" customWidth="1"/>
    <col min="1287" max="1287" width="21.140625" style="38" customWidth="1"/>
    <col min="1288" max="1288" width="9.85546875" style="38" customWidth="1"/>
    <col min="1289" max="1289" width="3" style="38" customWidth="1"/>
    <col min="1290" max="1290" width="22" style="38" customWidth="1"/>
    <col min="1291" max="1536" width="11.42578125" style="38"/>
    <col min="1537" max="1537" width="2.140625" style="38" customWidth="1"/>
    <col min="1538" max="1538" width="4" style="38" customWidth="1"/>
    <col min="1539" max="1539" width="11.85546875" style="38" customWidth="1"/>
    <col min="1540" max="1540" width="72.85546875" style="38" customWidth="1"/>
    <col min="1541" max="1541" width="1.7109375" style="38" customWidth="1"/>
    <col min="1542" max="1542" width="20.28515625" style="38" customWidth="1"/>
    <col min="1543" max="1543" width="21.140625" style="38" customWidth="1"/>
    <col min="1544" max="1544" width="9.85546875" style="38" customWidth="1"/>
    <col min="1545" max="1545" width="3" style="38" customWidth="1"/>
    <col min="1546" max="1546" width="22" style="38" customWidth="1"/>
    <col min="1547" max="1792" width="11.42578125" style="38"/>
    <col min="1793" max="1793" width="2.140625" style="38" customWidth="1"/>
    <col min="1794" max="1794" width="4" style="38" customWidth="1"/>
    <col min="1795" max="1795" width="11.85546875" style="38" customWidth="1"/>
    <col min="1796" max="1796" width="72.85546875" style="38" customWidth="1"/>
    <col min="1797" max="1797" width="1.7109375" style="38" customWidth="1"/>
    <col min="1798" max="1798" width="20.28515625" style="38" customWidth="1"/>
    <col min="1799" max="1799" width="21.140625" style="38" customWidth="1"/>
    <col min="1800" max="1800" width="9.85546875" style="38" customWidth="1"/>
    <col min="1801" max="1801" width="3" style="38" customWidth="1"/>
    <col min="1802" max="1802" width="22" style="38" customWidth="1"/>
    <col min="1803" max="2048" width="11.42578125" style="38"/>
    <col min="2049" max="2049" width="2.140625" style="38" customWidth="1"/>
    <col min="2050" max="2050" width="4" style="38" customWidth="1"/>
    <col min="2051" max="2051" width="11.85546875" style="38" customWidth="1"/>
    <col min="2052" max="2052" width="72.85546875" style="38" customWidth="1"/>
    <col min="2053" max="2053" width="1.7109375" style="38" customWidth="1"/>
    <col min="2054" max="2054" width="20.28515625" style="38" customWidth="1"/>
    <col min="2055" max="2055" width="21.140625" style="38" customWidth="1"/>
    <col min="2056" max="2056" width="9.85546875" style="38" customWidth="1"/>
    <col min="2057" max="2057" width="3" style="38" customWidth="1"/>
    <col min="2058" max="2058" width="22" style="38" customWidth="1"/>
    <col min="2059" max="2304" width="11.42578125" style="38"/>
    <col min="2305" max="2305" width="2.140625" style="38" customWidth="1"/>
    <col min="2306" max="2306" width="4" style="38" customWidth="1"/>
    <col min="2307" max="2307" width="11.85546875" style="38" customWidth="1"/>
    <col min="2308" max="2308" width="72.85546875" style="38" customWidth="1"/>
    <col min="2309" max="2309" width="1.7109375" style="38" customWidth="1"/>
    <col min="2310" max="2310" width="20.28515625" style="38" customWidth="1"/>
    <col min="2311" max="2311" width="21.140625" style="38" customWidth="1"/>
    <col min="2312" max="2312" width="9.85546875" style="38" customWidth="1"/>
    <col min="2313" max="2313" width="3" style="38" customWidth="1"/>
    <col min="2314" max="2314" width="22" style="38" customWidth="1"/>
    <col min="2315" max="2560" width="11.42578125" style="38"/>
    <col min="2561" max="2561" width="2.140625" style="38" customWidth="1"/>
    <col min="2562" max="2562" width="4" style="38" customWidth="1"/>
    <col min="2563" max="2563" width="11.85546875" style="38" customWidth="1"/>
    <col min="2564" max="2564" width="72.85546875" style="38" customWidth="1"/>
    <col min="2565" max="2565" width="1.7109375" style="38" customWidth="1"/>
    <col min="2566" max="2566" width="20.28515625" style="38" customWidth="1"/>
    <col min="2567" max="2567" width="21.140625" style="38" customWidth="1"/>
    <col min="2568" max="2568" width="9.85546875" style="38" customWidth="1"/>
    <col min="2569" max="2569" width="3" style="38" customWidth="1"/>
    <col min="2570" max="2570" width="22" style="38" customWidth="1"/>
    <col min="2571" max="2816" width="11.42578125" style="38"/>
    <col min="2817" max="2817" width="2.140625" style="38" customWidth="1"/>
    <col min="2818" max="2818" width="4" style="38" customWidth="1"/>
    <col min="2819" max="2819" width="11.85546875" style="38" customWidth="1"/>
    <col min="2820" max="2820" width="72.85546875" style="38" customWidth="1"/>
    <col min="2821" max="2821" width="1.7109375" style="38" customWidth="1"/>
    <col min="2822" max="2822" width="20.28515625" style="38" customWidth="1"/>
    <col min="2823" max="2823" width="21.140625" style="38" customWidth="1"/>
    <col min="2824" max="2824" width="9.85546875" style="38" customWidth="1"/>
    <col min="2825" max="2825" width="3" style="38" customWidth="1"/>
    <col min="2826" max="2826" width="22" style="38" customWidth="1"/>
    <col min="2827" max="3072" width="11.42578125" style="38"/>
    <col min="3073" max="3073" width="2.140625" style="38" customWidth="1"/>
    <col min="3074" max="3074" width="4" style="38" customWidth="1"/>
    <col min="3075" max="3075" width="11.85546875" style="38" customWidth="1"/>
    <col min="3076" max="3076" width="72.85546875" style="38" customWidth="1"/>
    <col min="3077" max="3077" width="1.7109375" style="38" customWidth="1"/>
    <col min="3078" max="3078" width="20.28515625" style="38" customWidth="1"/>
    <col min="3079" max="3079" width="21.140625" style="38" customWidth="1"/>
    <col min="3080" max="3080" width="9.85546875" style="38" customWidth="1"/>
    <col min="3081" max="3081" width="3" style="38" customWidth="1"/>
    <col min="3082" max="3082" width="22" style="38" customWidth="1"/>
    <col min="3083" max="3328" width="11.42578125" style="38"/>
    <col min="3329" max="3329" width="2.140625" style="38" customWidth="1"/>
    <col min="3330" max="3330" width="4" style="38" customWidth="1"/>
    <col min="3331" max="3331" width="11.85546875" style="38" customWidth="1"/>
    <col min="3332" max="3332" width="72.85546875" style="38" customWidth="1"/>
    <col min="3333" max="3333" width="1.7109375" style="38" customWidth="1"/>
    <col min="3334" max="3334" width="20.28515625" style="38" customWidth="1"/>
    <col min="3335" max="3335" width="21.140625" style="38" customWidth="1"/>
    <col min="3336" max="3336" width="9.85546875" style="38" customWidth="1"/>
    <col min="3337" max="3337" width="3" style="38" customWidth="1"/>
    <col min="3338" max="3338" width="22" style="38" customWidth="1"/>
    <col min="3339" max="3584" width="11.42578125" style="38"/>
    <col min="3585" max="3585" width="2.140625" style="38" customWidth="1"/>
    <col min="3586" max="3586" width="4" style="38" customWidth="1"/>
    <col min="3587" max="3587" width="11.85546875" style="38" customWidth="1"/>
    <col min="3588" max="3588" width="72.85546875" style="38" customWidth="1"/>
    <col min="3589" max="3589" width="1.7109375" style="38" customWidth="1"/>
    <col min="3590" max="3590" width="20.28515625" style="38" customWidth="1"/>
    <col min="3591" max="3591" width="21.140625" style="38" customWidth="1"/>
    <col min="3592" max="3592" width="9.85546875" style="38" customWidth="1"/>
    <col min="3593" max="3593" width="3" style="38" customWidth="1"/>
    <col min="3594" max="3594" width="22" style="38" customWidth="1"/>
    <col min="3595" max="3840" width="11.42578125" style="38"/>
    <col min="3841" max="3841" width="2.140625" style="38" customWidth="1"/>
    <col min="3842" max="3842" width="4" style="38" customWidth="1"/>
    <col min="3843" max="3843" width="11.85546875" style="38" customWidth="1"/>
    <col min="3844" max="3844" width="72.85546875" style="38" customWidth="1"/>
    <col min="3845" max="3845" width="1.7109375" style="38" customWidth="1"/>
    <col min="3846" max="3846" width="20.28515625" style="38" customWidth="1"/>
    <col min="3847" max="3847" width="21.140625" style="38" customWidth="1"/>
    <col min="3848" max="3848" width="9.85546875" style="38" customWidth="1"/>
    <col min="3849" max="3849" width="3" style="38" customWidth="1"/>
    <col min="3850" max="3850" width="22" style="38" customWidth="1"/>
    <col min="3851" max="4096" width="11.42578125" style="38"/>
    <col min="4097" max="4097" width="2.140625" style="38" customWidth="1"/>
    <col min="4098" max="4098" width="4" style="38" customWidth="1"/>
    <col min="4099" max="4099" width="11.85546875" style="38" customWidth="1"/>
    <col min="4100" max="4100" width="72.85546875" style="38" customWidth="1"/>
    <col min="4101" max="4101" width="1.7109375" style="38" customWidth="1"/>
    <col min="4102" max="4102" width="20.28515625" style="38" customWidth="1"/>
    <col min="4103" max="4103" width="21.140625" style="38" customWidth="1"/>
    <col min="4104" max="4104" width="9.85546875" style="38" customWidth="1"/>
    <col min="4105" max="4105" width="3" style="38" customWidth="1"/>
    <col min="4106" max="4106" width="22" style="38" customWidth="1"/>
    <col min="4107" max="4352" width="11.42578125" style="38"/>
    <col min="4353" max="4353" width="2.140625" style="38" customWidth="1"/>
    <col min="4354" max="4354" width="4" style="38" customWidth="1"/>
    <col min="4355" max="4355" width="11.85546875" style="38" customWidth="1"/>
    <col min="4356" max="4356" width="72.85546875" style="38" customWidth="1"/>
    <col min="4357" max="4357" width="1.7109375" style="38" customWidth="1"/>
    <col min="4358" max="4358" width="20.28515625" style="38" customWidth="1"/>
    <col min="4359" max="4359" width="21.140625" style="38" customWidth="1"/>
    <col min="4360" max="4360" width="9.85546875" style="38" customWidth="1"/>
    <col min="4361" max="4361" width="3" style="38" customWidth="1"/>
    <col min="4362" max="4362" width="22" style="38" customWidth="1"/>
    <col min="4363" max="4608" width="11.42578125" style="38"/>
    <col min="4609" max="4609" width="2.140625" style="38" customWidth="1"/>
    <col min="4610" max="4610" width="4" style="38" customWidth="1"/>
    <col min="4611" max="4611" width="11.85546875" style="38" customWidth="1"/>
    <col min="4612" max="4612" width="72.85546875" style="38" customWidth="1"/>
    <col min="4613" max="4613" width="1.7109375" style="38" customWidth="1"/>
    <col min="4614" max="4614" width="20.28515625" style="38" customWidth="1"/>
    <col min="4615" max="4615" width="21.140625" style="38" customWidth="1"/>
    <col min="4616" max="4616" width="9.85546875" style="38" customWidth="1"/>
    <col min="4617" max="4617" width="3" style="38" customWidth="1"/>
    <col min="4618" max="4618" width="22" style="38" customWidth="1"/>
    <col min="4619" max="4864" width="11.42578125" style="38"/>
    <col min="4865" max="4865" width="2.140625" style="38" customWidth="1"/>
    <col min="4866" max="4866" width="4" style="38" customWidth="1"/>
    <col min="4867" max="4867" width="11.85546875" style="38" customWidth="1"/>
    <col min="4868" max="4868" width="72.85546875" style="38" customWidth="1"/>
    <col min="4869" max="4869" width="1.7109375" style="38" customWidth="1"/>
    <col min="4870" max="4870" width="20.28515625" style="38" customWidth="1"/>
    <col min="4871" max="4871" width="21.140625" style="38" customWidth="1"/>
    <col min="4872" max="4872" width="9.85546875" style="38" customWidth="1"/>
    <col min="4873" max="4873" width="3" style="38" customWidth="1"/>
    <col min="4874" max="4874" width="22" style="38" customWidth="1"/>
    <col min="4875" max="5120" width="11.42578125" style="38"/>
    <col min="5121" max="5121" width="2.140625" style="38" customWidth="1"/>
    <col min="5122" max="5122" width="4" style="38" customWidth="1"/>
    <col min="5123" max="5123" width="11.85546875" style="38" customWidth="1"/>
    <col min="5124" max="5124" width="72.85546875" style="38" customWidth="1"/>
    <col min="5125" max="5125" width="1.7109375" style="38" customWidth="1"/>
    <col min="5126" max="5126" width="20.28515625" style="38" customWidth="1"/>
    <col min="5127" max="5127" width="21.140625" style="38" customWidth="1"/>
    <col min="5128" max="5128" width="9.85546875" style="38" customWidth="1"/>
    <col min="5129" max="5129" width="3" style="38" customWidth="1"/>
    <col min="5130" max="5130" width="22" style="38" customWidth="1"/>
    <col min="5131" max="5376" width="11.42578125" style="38"/>
    <col min="5377" max="5377" width="2.140625" style="38" customWidth="1"/>
    <col min="5378" max="5378" width="4" style="38" customWidth="1"/>
    <col min="5379" max="5379" width="11.85546875" style="38" customWidth="1"/>
    <col min="5380" max="5380" width="72.85546875" style="38" customWidth="1"/>
    <col min="5381" max="5381" width="1.7109375" style="38" customWidth="1"/>
    <col min="5382" max="5382" width="20.28515625" style="38" customWidth="1"/>
    <col min="5383" max="5383" width="21.140625" style="38" customWidth="1"/>
    <col min="5384" max="5384" width="9.85546875" style="38" customWidth="1"/>
    <col min="5385" max="5385" width="3" style="38" customWidth="1"/>
    <col min="5386" max="5386" width="22" style="38" customWidth="1"/>
    <col min="5387" max="5632" width="11.42578125" style="38"/>
    <col min="5633" max="5633" width="2.140625" style="38" customWidth="1"/>
    <col min="5634" max="5634" width="4" style="38" customWidth="1"/>
    <col min="5635" max="5635" width="11.85546875" style="38" customWidth="1"/>
    <col min="5636" max="5636" width="72.85546875" style="38" customWidth="1"/>
    <col min="5637" max="5637" width="1.7109375" style="38" customWidth="1"/>
    <col min="5638" max="5638" width="20.28515625" style="38" customWidth="1"/>
    <col min="5639" max="5639" width="21.140625" style="38" customWidth="1"/>
    <col min="5640" max="5640" width="9.85546875" style="38" customWidth="1"/>
    <col min="5641" max="5641" width="3" style="38" customWidth="1"/>
    <col min="5642" max="5642" width="22" style="38" customWidth="1"/>
    <col min="5643" max="5888" width="11.42578125" style="38"/>
    <col min="5889" max="5889" width="2.140625" style="38" customWidth="1"/>
    <col min="5890" max="5890" width="4" style="38" customWidth="1"/>
    <col min="5891" max="5891" width="11.85546875" style="38" customWidth="1"/>
    <col min="5892" max="5892" width="72.85546875" style="38" customWidth="1"/>
    <col min="5893" max="5893" width="1.7109375" style="38" customWidth="1"/>
    <col min="5894" max="5894" width="20.28515625" style="38" customWidth="1"/>
    <col min="5895" max="5895" width="21.140625" style="38" customWidth="1"/>
    <col min="5896" max="5896" width="9.85546875" style="38" customWidth="1"/>
    <col min="5897" max="5897" width="3" style="38" customWidth="1"/>
    <col min="5898" max="5898" width="22" style="38" customWidth="1"/>
    <col min="5899" max="6144" width="11.42578125" style="38"/>
    <col min="6145" max="6145" width="2.140625" style="38" customWidth="1"/>
    <col min="6146" max="6146" width="4" style="38" customWidth="1"/>
    <col min="6147" max="6147" width="11.85546875" style="38" customWidth="1"/>
    <col min="6148" max="6148" width="72.85546875" style="38" customWidth="1"/>
    <col min="6149" max="6149" width="1.7109375" style="38" customWidth="1"/>
    <col min="6150" max="6150" width="20.28515625" style="38" customWidth="1"/>
    <col min="6151" max="6151" width="21.140625" style="38" customWidth="1"/>
    <col min="6152" max="6152" width="9.85546875" style="38" customWidth="1"/>
    <col min="6153" max="6153" width="3" style="38" customWidth="1"/>
    <col min="6154" max="6154" width="22" style="38" customWidth="1"/>
    <col min="6155" max="6400" width="11.42578125" style="38"/>
    <col min="6401" max="6401" width="2.140625" style="38" customWidth="1"/>
    <col min="6402" max="6402" width="4" style="38" customWidth="1"/>
    <col min="6403" max="6403" width="11.85546875" style="38" customWidth="1"/>
    <col min="6404" max="6404" width="72.85546875" style="38" customWidth="1"/>
    <col min="6405" max="6405" width="1.7109375" style="38" customWidth="1"/>
    <col min="6406" max="6406" width="20.28515625" style="38" customWidth="1"/>
    <col min="6407" max="6407" width="21.140625" style="38" customWidth="1"/>
    <col min="6408" max="6408" width="9.85546875" style="38" customWidth="1"/>
    <col min="6409" max="6409" width="3" style="38" customWidth="1"/>
    <col min="6410" max="6410" width="22" style="38" customWidth="1"/>
    <col min="6411" max="6656" width="11.42578125" style="38"/>
    <col min="6657" max="6657" width="2.140625" style="38" customWidth="1"/>
    <col min="6658" max="6658" width="4" style="38" customWidth="1"/>
    <col min="6659" max="6659" width="11.85546875" style="38" customWidth="1"/>
    <col min="6660" max="6660" width="72.85546875" style="38" customWidth="1"/>
    <col min="6661" max="6661" width="1.7109375" style="38" customWidth="1"/>
    <col min="6662" max="6662" width="20.28515625" style="38" customWidth="1"/>
    <col min="6663" max="6663" width="21.140625" style="38" customWidth="1"/>
    <col min="6664" max="6664" width="9.85546875" style="38" customWidth="1"/>
    <col min="6665" max="6665" width="3" style="38" customWidth="1"/>
    <col min="6666" max="6666" width="22" style="38" customWidth="1"/>
    <col min="6667" max="6912" width="11.42578125" style="38"/>
    <col min="6913" max="6913" width="2.140625" style="38" customWidth="1"/>
    <col min="6914" max="6914" width="4" style="38" customWidth="1"/>
    <col min="6915" max="6915" width="11.85546875" style="38" customWidth="1"/>
    <col min="6916" max="6916" width="72.85546875" style="38" customWidth="1"/>
    <col min="6917" max="6917" width="1.7109375" style="38" customWidth="1"/>
    <col min="6918" max="6918" width="20.28515625" style="38" customWidth="1"/>
    <col min="6919" max="6919" width="21.140625" style="38" customWidth="1"/>
    <col min="6920" max="6920" width="9.85546875" style="38" customWidth="1"/>
    <col min="6921" max="6921" width="3" style="38" customWidth="1"/>
    <col min="6922" max="6922" width="22" style="38" customWidth="1"/>
    <col min="6923" max="7168" width="11.42578125" style="38"/>
    <col min="7169" max="7169" width="2.140625" style="38" customWidth="1"/>
    <col min="7170" max="7170" width="4" style="38" customWidth="1"/>
    <col min="7171" max="7171" width="11.85546875" style="38" customWidth="1"/>
    <col min="7172" max="7172" width="72.85546875" style="38" customWidth="1"/>
    <col min="7173" max="7173" width="1.7109375" style="38" customWidth="1"/>
    <col min="7174" max="7174" width="20.28515625" style="38" customWidth="1"/>
    <col min="7175" max="7175" width="21.140625" style="38" customWidth="1"/>
    <col min="7176" max="7176" width="9.85546875" style="38" customWidth="1"/>
    <col min="7177" max="7177" width="3" style="38" customWidth="1"/>
    <col min="7178" max="7178" width="22" style="38" customWidth="1"/>
    <col min="7179" max="7424" width="11.42578125" style="38"/>
    <col min="7425" max="7425" width="2.140625" style="38" customWidth="1"/>
    <col min="7426" max="7426" width="4" style="38" customWidth="1"/>
    <col min="7427" max="7427" width="11.85546875" style="38" customWidth="1"/>
    <col min="7428" max="7428" width="72.85546875" style="38" customWidth="1"/>
    <col min="7429" max="7429" width="1.7109375" style="38" customWidth="1"/>
    <col min="7430" max="7430" width="20.28515625" style="38" customWidth="1"/>
    <col min="7431" max="7431" width="21.140625" style="38" customWidth="1"/>
    <col min="7432" max="7432" width="9.85546875" style="38" customWidth="1"/>
    <col min="7433" max="7433" width="3" style="38" customWidth="1"/>
    <col min="7434" max="7434" width="22" style="38" customWidth="1"/>
    <col min="7435" max="7680" width="11.42578125" style="38"/>
    <col min="7681" max="7681" width="2.140625" style="38" customWidth="1"/>
    <col min="7682" max="7682" width="4" style="38" customWidth="1"/>
    <col min="7683" max="7683" width="11.85546875" style="38" customWidth="1"/>
    <col min="7684" max="7684" width="72.85546875" style="38" customWidth="1"/>
    <col min="7685" max="7685" width="1.7109375" style="38" customWidth="1"/>
    <col min="7686" max="7686" width="20.28515625" style="38" customWidth="1"/>
    <col min="7687" max="7687" width="21.140625" style="38" customWidth="1"/>
    <col min="7688" max="7688" width="9.85546875" style="38" customWidth="1"/>
    <col min="7689" max="7689" width="3" style="38" customWidth="1"/>
    <col min="7690" max="7690" width="22" style="38" customWidth="1"/>
    <col min="7691" max="7936" width="11.42578125" style="38"/>
    <col min="7937" max="7937" width="2.140625" style="38" customWidth="1"/>
    <col min="7938" max="7938" width="4" style="38" customWidth="1"/>
    <col min="7939" max="7939" width="11.85546875" style="38" customWidth="1"/>
    <col min="7940" max="7940" width="72.85546875" style="38" customWidth="1"/>
    <col min="7941" max="7941" width="1.7109375" style="38" customWidth="1"/>
    <col min="7942" max="7942" width="20.28515625" style="38" customWidth="1"/>
    <col min="7943" max="7943" width="21.140625" style="38" customWidth="1"/>
    <col min="7944" max="7944" width="9.85546875" style="38" customWidth="1"/>
    <col min="7945" max="7945" width="3" style="38" customWidth="1"/>
    <col min="7946" max="7946" width="22" style="38" customWidth="1"/>
    <col min="7947" max="8192" width="11.42578125" style="38"/>
    <col min="8193" max="8193" width="2.140625" style="38" customWidth="1"/>
    <col min="8194" max="8194" width="4" style="38" customWidth="1"/>
    <col min="8195" max="8195" width="11.85546875" style="38" customWidth="1"/>
    <col min="8196" max="8196" width="72.85546875" style="38" customWidth="1"/>
    <col min="8197" max="8197" width="1.7109375" style="38" customWidth="1"/>
    <col min="8198" max="8198" width="20.28515625" style="38" customWidth="1"/>
    <col min="8199" max="8199" width="21.140625" style="38" customWidth="1"/>
    <col min="8200" max="8200" width="9.85546875" style="38" customWidth="1"/>
    <col min="8201" max="8201" width="3" style="38" customWidth="1"/>
    <col min="8202" max="8202" width="22" style="38" customWidth="1"/>
    <col min="8203" max="8448" width="11.42578125" style="38"/>
    <col min="8449" max="8449" width="2.140625" style="38" customWidth="1"/>
    <col min="8450" max="8450" width="4" style="38" customWidth="1"/>
    <col min="8451" max="8451" width="11.85546875" style="38" customWidth="1"/>
    <col min="8452" max="8452" width="72.85546875" style="38" customWidth="1"/>
    <col min="8453" max="8453" width="1.7109375" style="38" customWidth="1"/>
    <col min="8454" max="8454" width="20.28515625" style="38" customWidth="1"/>
    <col min="8455" max="8455" width="21.140625" style="38" customWidth="1"/>
    <col min="8456" max="8456" width="9.85546875" style="38" customWidth="1"/>
    <col min="8457" max="8457" width="3" style="38" customWidth="1"/>
    <col min="8458" max="8458" width="22" style="38" customWidth="1"/>
    <col min="8459" max="8704" width="11.42578125" style="38"/>
    <col min="8705" max="8705" width="2.140625" style="38" customWidth="1"/>
    <col min="8706" max="8706" width="4" style="38" customWidth="1"/>
    <col min="8707" max="8707" width="11.85546875" style="38" customWidth="1"/>
    <col min="8708" max="8708" width="72.85546875" style="38" customWidth="1"/>
    <col min="8709" max="8709" width="1.7109375" style="38" customWidth="1"/>
    <col min="8710" max="8710" width="20.28515625" style="38" customWidth="1"/>
    <col min="8711" max="8711" width="21.140625" style="38" customWidth="1"/>
    <col min="8712" max="8712" width="9.85546875" style="38" customWidth="1"/>
    <col min="8713" max="8713" width="3" style="38" customWidth="1"/>
    <col min="8714" max="8714" width="22" style="38" customWidth="1"/>
    <col min="8715" max="8960" width="11.42578125" style="38"/>
    <col min="8961" max="8961" width="2.140625" style="38" customWidth="1"/>
    <col min="8962" max="8962" width="4" style="38" customWidth="1"/>
    <col min="8963" max="8963" width="11.85546875" style="38" customWidth="1"/>
    <col min="8964" max="8964" width="72.85546875" style="38" customWidth="1"/>
    <col min="8965" max="8965" width="1.7109375" style="38" customWidth="1"/>
    <col min="8966" max="8966" width="20.28515625" style="38" customWidth="1"/>
    <col min="8967" max="8967" width="21.140625" style="38" customWidth="1"/>
    <col min="8968" max="8968" width="9.85546875" style="38" customWidth="1"/>
    <col min="8969" max="8969" width="3" style="38" customWidth="1"/>
    <col min="8970" max="8970" width="22" style="38" customWidth="1"/>
    <col min="8971" max="9216" width="11.42578125" style="38"/>
    <col min="9217" max="9217" width="2.140625" style="38" customWidth="1"/>
    <col min="9218" max="9218" width="4" style="38" customWidth="1"/>
    <col min="9219" max="9219" width="11.85546875" style="38" customWidth="1"/>
    <col min="9220" max="9220" width="72.85546875" style="38" customWidth="1"/>
    <col min="9221" max="9221" width="1.7109375" style="38" customWidth="1"/>
    <col min="9222" max="9222" width="20.28515625" style="38" customWidth="1"/>
    <col min="9223" max="9223" width="21.140625" style="38" customWidth="1"/>
    <col min="9224" max="9224" width="9.85546875" style="38" customWidth="1"/>
    <col min="9225" max="9225" width="3" style="38" customWidth="1"/>
    <col min="9226" max="9226" width="22" style="38" customWidth="1"/>
    <col min="9227" max="9472" width="11.42578125" style="38"/>
    <col min="9473" max="9473" width="2.140625" style="38" customWidth="1"/>
    <col min="9474" max="9474" width="4" style="38" customWidth="1"/>
    <col min="9475" max="9475" width="11.85546875" style="38" customWidth="1"/>
    <col min="9476" max="9476" width="72.85546875" style="38" customWidth="1"/>
    <col min="9477" max="9477" width="1.7109375" style="38" customWidth="1"/>
    <col min="9478" max="9478" width="20.28515625" style="38" customWidth="1"/>
    <col min="9479" max="9479" width="21.140625" style="38" customWidth="1"/>
    <col min="9480" max="9480" width="9.85546875" style="38" customWidth="1"/>
    <col min="9481" max="9481" width="3" style="38" customWidth="1"/>
    <col min="9482" max="9482" width="22" style="38" customWidth="1"/>
    <col min="9483" max="9728" width="11.42578125" style="38"/>
    <col min="9729" max="9729" width="2.140625" style="38" customWidth="1"/>
    <col min="9730" max="9730" width="4" style="38" customWidth="1"/>
    <col min="9731" max="9731" width="11.85546875" style="38" customWidth="1"/>
    <col min="9732" max="9732" width="72.85546875" style="38" customWidth="1"/>
    <col min="9733" max="9733" width="1.7109375" style="38" customWidth="1"/>
    <col min="9734" max="9734" width="20.28515625" style="38" customWidth="1"/>
    <col min="9735" max="9735" width="21.140625" style="38" customWidth="1"/>
    <col min="9736" max="9736" width="9.85546875" style="38" customWidth="1"/>
    <col min="9737" max="9737" width="3" style="38" customWidth="1"/>
    <col min="9738" max="9738" width="22" style="38" customWidth="1"/>
    <col min="9739" max="9984" width="11.42578125" style="38"/>
    <col min="9985" max="9985" width="2.140625" style="38" customWidth="1"/>
    <col min="9986" max="9986" width="4" style="38" customWidth="1"/>
    <col min="9987" max="9987" width="11.85546875" style="38" customWidth="1"/>
    <col min="9988" max="9988" width="72.85546875" style="38" customWidth="1"/>
    <col min="9989" max="9989" width="1.7109375" style="38" customWidth="1"/>
    <col min="9990" max="9990" width="20.28515625" style="38" customWidth="1"/>
    <col min="9991" max="9991" width="21.140625" style="38" customWidth="1"/>
    <col min="9992" max="9992" width="9.85546875" style="38" customWidth="1"/>
    <col min="9993" max="9993" width="3" style="38" customWidth="1"/>
    <col min="9994" max="9994" width="22" style="38" customWidth="1"/>
    <col min="9995" max="10240" width="11.42578125" style="38"/>
    <col min="10241" max="10241" width="2.140625" style="38" customWidth="1"/>
    <col min="10242" max="10242" width="4" style="38" customWidth="1"/>
    <col min="10243" max="10243" width="11.85546875" style="38" customWidth="1"/>
    <col min="10244" max="10244" width="72.85546875" style="38" customWidth="1"/>
    <col min="10245" max="10245" width="1.7109375" style="38" customWidth="1"/>
    <col min="10246" max="10246" width="20.28515625" style="38" customWidth="1"/>
    <col min="10247" max="10247" width="21.140625" style="38" customWidth="1"/>
    <col min="10248" max="10248" width="9.85546875" style="38" customWidth="1"/>
    <col min="10249" max="10249" width="3" style="38" customWidth="1"/>
    <col min="10250" max="10250" width="22" style="38" customWidth="1"/>
    <col min="10251" max="10496" width="11.42578125" style="38"/>
    <col min="10497" max="10497" width="2.140625" style="38" customWidth="1"/>
    <col min="10498" max="10498" width="4" style="38" customWidth="1"/>
    <col min="10499" max="10499" width="11.85546875" style="38" customWidth="1"/>
    <col min="10500" max="10500" width="72.85546875" style="38" customWidth="1"/>
    <col min="10501" max="10501" width="1.7109375" style="38" customWidth="1"/>
    <col min="10502" max="10502" width="20.28515625" style="38" customWidth="1"/>
    <col min="10503" max="10503" width="21.140625" style="38" customWidth="1"/>
    <col min="10504" max="10504" width="9.85546875" style="38" customWidth="1"/>
    <col min="10505" max="10505" width="3" style="38" customWidth="1"/>
    <col min="10506" max="10506" width="22" style="38" customWidth="1"/>
    <col min="10507" max="10752" width="11.42578125" style="38"/>
    <col min="10753" max="10753" width="2.140625" style="38" customWidth="1"/>
    <col min="10754" max="10754" width="4" style="38" customWidth="1"/>
    <col min="10755" max="10755" width="11.85546875" style="38" customWidth="1"/>
    <col min="10756" max="10756" width="72.85546875" style="38" customWidth="1"/>
    <col min="10757" max="10757" width="1.7109375" style="38" customWidth="1"/>
    <col min="10758" max="10758" width="20.28515625" style="38" customWidth="1"/>
    <col min="10759" max="10759" width="21.140625" style="38" customWidth="1"/>
    <col min="10760" max="10760" width="9.85546875" style="38" customWidth="1"/>
    <col min="10761" max="10761" width="3" style="38" customWidth="1"/>
    <col min="10762" max="10762" width="22" style="38" customWidth="1"/>
    <col min="10763" max="11008" width="11.42578125" style="38"/>
    <col min="11009" max="11009" width="2.140625" style="38" customWidth="1"/>
    <col min="11010" max="11010" width="4" style="38" customWidth="1"/>
    <col min="11011" max="11011" width="11.85546875" style="38" customWidth="1"/>
    <col min="11012" max="11012" width="72.85546875" style="38" customWidth="1"/>
    <col min="11013" max="11013" width="1.7109375" style="38" customWidth="1"/>
    <col min="11014" max="11014" width="20.28515625" style="38" customWidth="1"/>
    <col min="11015" max="11015" width="21.140625" style="38" customWidth="1"/>
    <col min="11016" max="11016" width="9.85546875" style="38" customWidth="1"/>
    <col min="11017" max="11017" width="3" style="38" customWidth="1"/>
    <col min="11018" max="11018" width="22" style="38" customWidth="1"/>
    <col min="11019" max="11264" width="11.42578125" style="38"/>
    <col min="11265" max="11265" width="2.140625" style="38" customWidth="1"/>
    <col min="11266" max="11266" width="4" style="38" customWidth="1"/>
    <col min="11267" max="11267" width="11.85546875" style="38" customWidth="1"/>
    <col min="11268" max="11268" width="72.85546875" style="38" customWidth="1"/>
    <col min="11269" max="11269" width="1.7109375" style="38" customWidth="1"/>
    <col min="11270" max="11270" width="20.28515625" style="38" customWidth="1"/>
    <col min="11271" max="11271" width="21.140625" style="38" customWidth="1"/>
    <col min="11272" max="11272" width="9.85546875" style="38" customWidth="1"/>
    <col min="11273" max="11273" width="3" style="38" customWidth="1"/>
    <col min="11274" max="11274" width="22" style="38" customWidth="1"/>
    <col min="11275" max="11520" width="11.42578125" style="38"/>
    <col min="11521" max="11521" width="2.140625" style="38" customWidth="1"/>
    <col min="11522" max="11522" width="4" style="38" customWidth="1"/>
    <col min="11523" max="11523" width="11.85546875" style="38" customWidth="1"/>
    <col min="11524" max="11524" width="72.85546875" style="38" customWidth="1"/>
    <col min="11525" max="11525" width="1.7109375" style="38" customWidth="1"/>
    <col min="11526" max="11526" width="20.28515625" style="38" customWidth="1"/>
    <col min="11527" max="11527" width="21.140625" style="38" customWidth="1"/>
    <col min="11528" max="11528" width="9.85546875" style="38" customWidth="1"/>
    <col min="11529" max="11529" width="3" style="38" customWidth="1"/>
    <col min="11530" max="11530" width="22" style="38" customWidth="1"/>
    <col min="11531" max="11776" width="11.42578125" style="38"/>
    <col min="11777" max="11777" width="2.140625" style="38" customWidth="1"/>
    <col min="11778" max="11778" width="4" style="38" customWidth="1"/>
    <col min="11779" max="11779" width="11.85546875" style="38" customWidth="1"/>
    <col min="11780" max="11780" width="72.85546875" style="38" customWidth="1"/>
    <col min="11781" max="11781" width="1.7109375" style="38" customWidth="1"/>
    <col min="11782" max="11782" width="20.28515625" style="38" customWidth="1"/>
    <col min="11783" max="11783" width="21.140625" style="38" customWidth="1"/>
    <col min="11784" max="11784" width="9.85546875" style="38" customWidth="1"/>
    <col min="11785" max="11785" width="3" style="38" customWidth="1"/>
    <col min="11786" max="11786" width="22" style="38" customWidth="1"/>
    <col min="11787" max="12032" width="11.42578125" style="38"/>
    <col min="12033" max="12033" width="2.140625" style="38" customWidth="1"/>
    <col min="12034" max="12034" width="4" style="38" customWidth="1"/>
    <col min="12035" max="12035" width="11.85546875" style="38" customWidth="1"/>
    <col min="12036" max="12036" width="72.85546875" style="38" customWidth="1"/>
    <col min="12037" max="12037" width="1.7109375" style="38" customWidth="1"/>
    <col min="12038" max="12038" width="20.28515625" style="38" customWidth="1"/>
    <col min="12039" max="12039" width="21.140625" style="38" customWidth="1"/>
    <col min="12040" max="12040" width="9.85546875" style="38" customWidth="1"/>
    <col min="12041" max="12041" width="3" style="38" customWidth="1"/>
    <col min="12042" max="12042" width="22" style="38" customWidth="1"/>
    <col min="12043" max="12288" width="11.42578125" style="38"/>
    <col min="12289" max="12289" width="2.140625" style="38" customWidth="1"/>
    <col min="12290" max="12290" width="4" style="38" customWidth="1"/>
    <col min="12291" max="12291" width="11.85546875" style="38" customWidth="1"/>
    <col min="12292" max="12292" width="72.85546875" style="38" customWidth="1"/>
    <col min="12293" max="12293" width="1.7109375" style="38" customWidth="1"/>
    <col min="12294" max="12294" width="20.28515625" style="38" customWidth="1"/>
    <col min="12295" max="12295" width="21.140625" style="38" customWidth="1"/>
    <col min="12296" max="12296" width="9.85546875" style="38" customWidth="1"/>
    <col min="12297" max="12297" width="3" style="38" customWidth="1"/>
    <col min="12298" max="12298" width="22" style="38" customWidth="1"/>
    <col min="12299" max="12544" width="11.42578125" style="38"/>
    <col min="12545" max="12545" width="2.140625" style="38" customWidth="1"/>
    <col min="12546" max="12546" width="4" style="38" customWidth="1"/>
    <col min="12547" max="12547" width="11.85546875" style="38" customWidth="1"/>
    <col min="12548" max="12548" width="72.85546875" style="38" customWidth="1"/>
    <col min="12549" max="12549" width="1.7109375" style="38" customWidth="1"/>
    <col min="12550" max="12550" width="20.28515625" style="38" customWidth="1"/>
    <col min="12551" max="12551" width="21.140625" style="38" customWidth="1"/>
    <col min="12552" max="12552" width="9.85546875" style="38" customWidth="1"/>
    <col min="12553" max="12553" width="3" style="38" customWidth="1"/>
    <col min="12554" max="12554" width="22" style="38" customWidth="1"/>
    <col min="12555" max="12800" width="11.42578125" style="38"/>
    <col min="12801" max="12801" width="2.140625" style="38" customWidth="1"/>
    <col min="12802" max="12802" width="4" style="38" customWidth="1"/>
    <col min="12803" max="12803" width="11.85546875" style="38" customWidth="1"/>
    <col min="12804" max="12804" width="72.85546875" style="38" customWidth="1"/>
    <col min="12805" max="12805" width="1.7109375" style="38" customWidth="1"/>
    <col min="12806" max="12806" width="20.28515625" style="38" customWidth="1"/>
    <col min="12807" max="12807" width="21.140625" style="38" customWidth="1"/>
    <col min="12808" max="12808" width="9.85546875" style="38" customWidth="1"/>
    <col min="12809" max="12809" width="3" style="38" customWidth="1"/>
    <col min="12810" max="12810" width="22" style="38" customWidth="1"/>
    <col min="12811" max="13056" width="11.42578125" style="38"/>
    <col min="13057" max="13057" width="2.140625" style="38" customWidth="1"/>
    <col min="13058" max="13058" width="4" style="38" customWidth="1"/>
    <col min="13059" max="13059" width="11.85546875" style="38" customWidth="1"/>
    <col min="13060" max="13060" width="72.85546875" style="38" customWidth="1"/>
    <col min="13061" max="13061" width="1.7109375" style="38" customWidth="1"/>
    <col min="13062" max="13062" width="20.28515625" style="38" customWidth="1"/>
    <col min="13063" max="13063" width="21.140625" style="38" customWidth="1"/>
    <col min="13064" max="13064" width="9.85546875" style="38" customWidth="1"/>
    <col min="13065" max="13065" width="3" style="38" customWidth="1"/>
    <col min="13066" max="13066" width="22" style="38" customWidth="1"/>
    <col min="13067" max="13312" width="11.42578125" style="38"/>
    <col min="13313" max="13313" width="2.140625" style="38" customWidth="1"/>
    <col min="13314" max="13314" width="4" style="38" customWidth="1"/>
    <col min="13315" max="13315" width="11.85546875" style="38" customWidth="1"/>
    <col min="13316" max="13316" width="72.85546875" style="38" customWidth="1"/>
    <col min="13317" max="13317" width="1.7109375" style="38" customWidth="1"/>
    <col min="13318" max="13318" width="20.28515625" style="38" customWidth="1"/>
    <col min="13319" max="13319" width="21.140625" style="38" customWidth="1"/>
    <col min="13320" max="13320" width="9.85546875" style="38" customWidth="1"/>
    <col min="13321" max="13321" width="3" style="38" customWidth="1"/>
    <col min="13322" max="13322" width="22" style="38" customWidth="1"/>
    <col min="13323" max="13568" width="11.42578125" style="38"/>
    <col min="13569" max="13569" width="2.140625" style="38" customWidth="1"/>
    <col min="13570" max="13570" width="4" style="38" customWidth="1"/>
    <col min="13571" max="13571" width="11.85546875" style="38" customWidth="1"/>
    <col min="13572" max="13572" width="72.85546875" style="38" customWidth="1"/>
    <col min="13573" max="13573" width="1.7109375" style="38" customWidth="1"/>
    <col min="13574" max="13574" width="20.28515625" style="38" customWidth="1"/>
    <col min="13575" max="13575" width="21.140625" style="38" customWidth="1"/>
    <col min="13576" max="13576" width="9.85546875" style="38" customWidth="1"/>
    <col min="13577" max="13577" width="3" style="38" customWidth="1"/>
    <col min="13578" max="13578" width="22" style="38" customWidth="1"/>
    <col min="13579" max="13824" width="11.42578125" style="38"/>
    <col min="13825" max="13825" width="2.140625" style="38" customWidth="1"/>
    <col min="13826" max="13826" width="4" style="38" customWidth="1"/>
    <col min="13827" max="13827" width="11.85546875" style="38" customWidth="1"/>
    <col min="13828" max="13828" width="72.85546875" style="38" customWidth="1"/>
    <col min="13829" max="13829" width="1.7109375" style="38" customWidth="1"/>
    <col min="13830" max="13830" width="20.28515625" style="38" customWidth="1"/>
    <col min="13831" max="13831" width="21.140625" style="38" customWidth="1"/>
    <col min="13832" max="13832" width="9.85546875" style="38" customWidth="1"/>
    <col min="13833" max="13833" width="3" style="38" customWidth="1"/>
    <col min="13834" max="13834" width="22" style="38" customWidth="1"/>
    <col min="13835" max="14080" width="11.42578125" style="38"/>
    <col min="14081" max="14081" width="2.140625" style="38" customWidth="1"/>
    <col min="14082" max="14082" width="4" style="38" customWidth="1"/>
    <col min="14083" max="14083" width="11.85546875" style="38" customWidth="1"/>
    <col min="14084" max="14084" width="72.85546875" style="38" customWidth="1"/>
    <col min="14085" max="14085" width="1.7109375" style="38" customWidth="1"/>
    <col min="14086" max="14086" width="20.28515625" style="38" customWidth="1"/>
    <col min="14087" max="14087" width="21.140625" style="38" customWidth="1"/>
    <col min="14088" max="14088" width="9.85546875" style="38" customWidth="1"/>
    <col min="14089" max="14089" width="3" style="38" customWidth="1"/>
    <col min="14090" max="14090" width="22" style="38" customWidth="1"/>
    <col min="14091" max="14336" width="11.42578125" style="38"/>
    <col min="14337" max="14337" width="2.140625" style="38" customWidth="1"/>
    <col min="14338" max="14338" width="4" style="38" customWidth="1"/>
    <col min="14339" max="14339" width="11.85546875" style="38" customWidth="1"/>
    <col min="14340" max="14340" width="72.85546875" style="38" customWidth="1"/>
    <col min="14341" max="14341" width="1.7109375" style="38" customWidth="1"/>
    <col min="14342" max="14342" width="20.28515625" style="38" customWidth="1"/>
    <col min="14343" max="14343" width="21.140625" style="38" customWidth="1"/>
    <col min="14344" max="14344" width="9.85546875" style="38" customWidth="1"/>
    <col min="14345" max="14345" width="3" style="38" customWidth="1"/>
    <col min="14346" max="14346" width="22" style="38" customWidth="1"/>
    <col min="14347" max="14592" width="11.42578125" style="38"/>
    <col min="14593" max="14593" width="2.140625" style="38" customWidth="1"/>
    <col min="14594" max="14594" width="4" style="38" customWidth="1"/>
    <col min="14595" max="14595" width="11.85546875" style="38" customWidth="1"/>
    <col min="14596" max="14596" width="72.85546875" style="38" customWidth="1"/>
    <col min="14597" max="14597" width="1.7109375" style="38" customWidth="1"/>
    <col min="14598" max="14598" width="20.28515625" style="38" customWidth="1"/>
    <col min="14599" max="14599" width="21.140625" style="38" customWidth="1"/>
    <col min="14600" max="14600" width="9.85546875" style="38" customWidth="1"/>
    <col min="14601" max="14601" width="3" style="38" customWidth="1"/>
    <col min="14602" max="14602" width="22" style="38" customWidth="1"/>
    <col min="14603" max="14848" width="11.42578125" style="38"/>
    <col min="14849" max="14849" width="2.140625" style="38" customWidth="1"/>
    <col min="14850" max="14850" width="4" style="38" customWidth="1"/>
    <col min="14851" max="14851" width="11.85546875" style="38" customWidth="1"/>
    <col min="14852" max="14852" width="72.85546875" style="38" customWidth="1"/>
    <col min="14853" max="14853" width="1.7109375" style="38" customWidth="1"/>
    <col min="14854" max="14854" width="20.28515625" style="38" customWidth="1"/>
    <col min="14855" max="14855" width="21.140625" style="38" customWidth="1"/>
    <col min="14856" max="14856" width="9.85546875" style="38" customWidth="1"/>
    <col min="14857" max="14857" width="3" style="38" customWidth="1"/>
    <col min="14858" max="14858" width="22" style="38" customWidth="1"/>
    <col min="14859" max="15104" width="11.42578125" style="38"/>
    <col min="15105" max="15105" width="2.140625" style="38" customWidth="1"/>
    <col min="15106" max="15106" width="4" style="38" customWidth="1"/>
    <col min="15107" max="15107" width="11.85546875" style="38" customWidth="1"/>
    <col min="15108" max="15108" width="72.85546875" style="38" customWidth="1"/>
    <col min="15109" max="15109" width="1.7109375" style="38" customWidth="1"/>
    <col min="15110" max="15110" width="20.28515625" style="38" customWidth="1"/>
    <col min="15111" max="15111" width="21.140625" style="38" customWidth="1"/>
    <col min="15112" max="15112" width="9.85546875" style="38" customWidth="1"/>
    <col min="15113" max="15113" width="3" style="38" customWidth="1"/>
    <col min="15114" max="15114" width="22" style="38" customWidth="1"/>
    <col min="15115" max="15360" width="11.42578125" style="38"/>
    <col min="15361" max="15361" width="2.140625" style="38" customWidth="1"/>
    <col min="15362" max="15362" width="4" style="38" customWidth="1"/>
    <col min="15363" max="15363" width="11.85546875" style="38" customWidth="1"/>
    <col min="15364" max="15364" width="72.85546875" style="38" customWidth="1"/>
    <col min="15365" max="15365" width="1.7109375" style="38" customWidth="1"/>
    <col min="15366" max="15366" width="20.28515625" style="38" customWidth="1"/>
    <col min="15367" max="15367" width="21.140625" style="38" customWidth="1"/>
    <col min="15368" max="15368" width="9.85546875" style="38" customWidth="1"/>
    <col min="15369" max="15369" width="3" style="38" customWidth="1"/>
    <col min="15370" max="15370" width="22" style="38" customWidth="1"/>
    <col min="15371" max="15616" width="11.42578125" style="38"/>
    <col min="15617" max="15617" width="2.140625" style="38" customWidth="1"/>
    <col min="15618" max="15618" width="4" style="38" customWidth="1"/>
    <col min="15619" max="15619" width="11.85546875" style="38" customWidth="1"/>
    <col min="15620" max="15620" width="72.85546875" style="38" customWidth="1"/>
    <col min="15621" max="15621" width="1.7109375" style="38" customWidth="1"/>
    <col min="15622" max="15622" width="20.28515625" style="38" customWidth="1"/>
    <col min="15623" max="15623" width="21.140625" style="38" customWidth="1"/>
    <col min="15624" max="15624" width="9.85546875" style="38" customWidth="1"/>
    <col min="15625" max="15625" width="3" style="38" customWidth="1"/>
    <col min="15626" max="15626" width="22" style="38" customWidth="1"/>
    <col min="15627" max="15872" width="11.42578125" style="38"/>
    <col min="15873" max="15873" width="2.140625" style="38" customWidth="1"/>
    <col min="15874" max="15874" width="4" style="38" customWidth="1"/>
    <col min="15875" max="15875" width="11.85546875" style="38" customWidth="1"/>
    <col min="15876" max="15876" width="72.85546875" style="38" customWidth="1"/>
    <col min="15877" max="15877" width="1.7109375" style="38" customWidth="1"/>
    <col min="15878" max="15878" width="20.28515625" style="38" customWidth="1"/>
    <col min="15879" max="15879" width="21.140625" style="38" customWidth="1"/>
    <col min="15880" max="15880" width="9.85546875" style="38" customWidth="1"/>
    <col min="15881" max="15881" width="3" style="38" customWidth="1"/>
    <col min="15882" max="15882" width="22" style="38" customWidth="1"/>
    <col min="15883" max="16128" width="11.42578125" style="38"/>
    <col min="16129" max="16129" width="2.140625" style="38" customWidth="1"/>
    <col min="16130" max="16130" width="4" style="38" customWidth="1"/>
    <col min="16131" max="16131" width="11.85546875" style="38" customWidth="1"/>
    <col min="16132" max="16132" width="72.85546875" style="38" customWidth="1"/>
    <col min="16133" max="16133" width="1.7109375" style="38" customWidth="1"/>
    <col min="16134" max="16134" width="20.28515625" style="38" customWidth="1"/>
    <col min="16135" max="16135" width="21.140625" style="38" customWidth="1"/>
    <col min="16136" max="16136" width="9.85546875" style="38" customWidth="1"/>
    <col min="16137" max="16137" width="3" style="38" customWidth="1"/>
    <col min="16138" max="16138" width="22" style="38" customWidth="1"/>
    <col min="16139" max="16384" width="11.42578125" style="38"/>
  </cols>
  <sheetData>
    <row r="1" spans="1:13" x14ac:dyDescent="0.2">
      <c r="A1" s="95"/>
      <c r="B1" s="96"/>
      <c r="C1" s="95"/>
      <c r="D1" s="97"/>
      <c r="E1" s="98"/>
    </row>
    <row r="2" spans="1:13" x14ac:dyDescent="0.2">
      <c r="A2" s="95"/>
      <c r="B2" s="312" t="s">
        <v>291</v>
      </c>
      <c r="C2" s="308"/>
      <c r="D2" s="313"/>
      <c r="E2" s="100"/>
      <c r="F2" s="101"/>
      <c r="G2" s="101"/>
      <c r="H2" s="101"/>
    </row>
    <row r="3" spans="1:13" x14ac:dyDescent="0.2">
      <c r="A3" s="95"/>
      <c r="B3" s="102"/>
      <c r="C3" s="103"/>
      <c r="D3" s="104"/>
      <c r="E3" s="98"/>
    </row>
    <row r="4" spans="1:13" x14ac:dyDescent="0.2">
      <c r="A4" s="95"/>
      <c r="B4" s="102"/>
      <c r="C4" s="314" t="s">
        <v>322</v>
      </c>
      <c r="D4" s="313"/>
      <c r="E4" s="98"/>
      <c r="F4" s="105" t="s">
        <v>323</v>
      </c>
      <c r="G4" s="105" t="s">
        <v>324</v>
      </c>
      <c r="H4" s="105" t="s">
        <v>2</v>
      </c>
      <c r="J4" s="198" t="s">
        <v>325</v>
      </c>
      <c r="M4" s="38" t="s">
        <v>548</v>
      </c>
    </row>
    <row r="5" spans="1:13" x14ac:dyDescent="0.2">
      <c r="A5" s="95"/>
      <c r="B5" s="106" t="s">
        <v>326</v>
      </c>
      <c r="C5" s="107" t="s">
        <v>327</v>
      </c>
      <c r="D5" s="108" t="s">
        <v>328</v>
      </c>
      <c r="E5" s="98"/>
      <c r="F5" s="109" t="s">
        <v>329</v>
      </c>
      <c r="G5" s="109" t="s">
        <v>330</v>
      </c>
      <c r="H5" s="110">
        <f>IF(B5="X",'EGR2 2--copiar en word 1 EGR'!D18-H6-H7,0)</f>
        <v>1441.7981694</v>
      </c>
      <c r="J5" s="199" t="s">
        <v>331</v>
      </c>
    </row>
    <row r="6" spans="1:13" x14ac:dyDescent="0.2">
      <c r="A6" s="95"/>
      <c r="B6" s="106"/>
      <c r="C6" s="107" t="s">
        <v>332</v>
      </c>
      <c r="D6" s="108" t="s">
        <v>333</v>
      </c>
      <c r="E6" s="98"/>
      <c r="F6" s="109" t="s">
        <v>329</v>
      </c>
      <c r="G6" s="109" t="s">
        <v>330</v>
      </c>
      <c r="H6" s="110">
        <f>IF(B6="X",J6*'EGR2 2--copiar en word 1 EGR'!$D$18,0)</f>
        <v>0</v>
      </c>
      <c r="J6" s="199">
        <v>0.15</v>
      </c>
    </row>
    <row r="7" spans="1:13" x14ac:dyDescent="0.2">
      <c r="A7" s="95"/>
      <c r="B7" s="106"/>
      <c r="C7" s="107" t="s">
        <v>334</v>
      </c>
      <c r="D7" s="108" t="s">
        <v>335</v>
      </c>
      <c r="E7" s="111"/>
      <c r="F7" s="109" t="s">
        <v>329</v>
      </c>
      <c r="G7" s="109" t="s">
        <v>330</v>
      </c>
      <c r="H7" s="110">
        <f>IF(B7="X",J7*'EGR2 2--copiar en word 1 EGR'!$D$18,0)</f>
        <v>0</v>
      </c>
      <c r="J7" s="199">
        <v>0.05</v>
      </c>
    </row>
    <row r="8" spans="1:13" x14ac:dyDescent="0.2">
      <c r="A8" s="95"/>
      <c r="B8" s="102"/>
      <c r="C8" s="112"/>
      <c r="D8" s="113"/>
      <c r="E8" s="111"/>
    </row>
    <row r="9" spans="1:13" x14ac:dyDescent="0.2">
      <c r="A9" s="95"/>
      <c r="B9" s="312" t="s">
        <v>300</v>
      </c>
      <c r="C9" s="308"/>
      <c r="D9" s="313"/>
      <c r="E9" s="100"/>
      <c r="F9" s="101"/>
      <c r="G9" s="101"/>
      <c r="H9" s="101"/>
    </row>
    <row r="10" spans="1:13" x14ac:dyDescent="0.2">
      <c r="A10" s="95"/>
      <c r="B10" s="102"/>
      <c r="C10" s="112"/>
      <c r="D10" s="113"/>
      <c r="E10" s="111"/>
    </row>
    <row r="11" spans="1:13" x14ac:dyDescent="0.2">
      <c r="A11" s="95"/>
      <c r="B11" s="102"/>
      <c r="C11" s="99" t="s">
        <v>305</v>
      </c>
      <c r="D11" s="114"/>
      <c r="E11" s="111"/>
      <c r="F11" s="105" t="s">
        <v>323</v>
      </c>
      <c r="G11" s="105" t="s">
        <v>324</v>
      </c>
      <c r="H11" s="105" t="s">
        <v>2</v>
      </c>
    </row>
    <row r="12" spans="1:13" ht="5.25" customHeight="1" x14ac:dyDescent="0.2">
      <c r="A12" s="95"/>
      <c r="B12" s="102"/>
      <c r="C12" s="115"/>
      <c r="D12" s="113"/>
      <c r="E12" s="111"/>
    </row>
    <row r="13" spans="1:13" x14ac:dyDescent="0.2">
      <c r="A13" s="95"/>
      <c r="B13" s="102"/>
      <c r="C13" s="116" t="s">
        <v>306</v>
      </c>
      <c r="D13" s="113"/>
      <c r="E13" s="111"/>
    </row>
    <row r="14" spans="1:13" x14ac:dyDescent="0.2">
      <c r="A14" s="95"/>
      <c r="B14" s="106" t="s">
        <v>326</v>
      </c>
      <c r="C14" s="107" t="s">
        <v>336</v>
      </c>
      <c r="D14" s="108" t="s">
        <v>337</v>
      </c>
      <c r="E14" s="111"/>
      <c r="F14" s="109" t="s">
        <v>338</v>
      </c>
      <c r="G14" s="109" t="s">
        <v>339</v>
      </c>
      <c r="H14" s="117">
        <f>'EGR2 2--copiar en word 1 EGR'!D24</f>
        <v>5.8739925420000008</v>
      </c>
      <c r="J14" s="199" t="s">
        <v>340</v>
      </c>
    </row>
    <row r="15" spans="1:13" x14ac:dyDescent="0.2">
      <c r="A15" s="95"/>
      <c r="B15" s="102"/>
      <c r="C15" s="118" t="s">
        <v>307</v>
      </c>
      <c r="D15" s="113"/>
      <c r="E15" s="111"/>
    </row>
    <row r="16" spans="1:13" x14ac:dyDescent="0.2">
      <c r="A16" s="95"/>
      <c r="B16" s="106" t="s">
        <v>326</v>
      </c>
      <c r="C16" s="107" t="s">
        <v>341</v>
      </c>
      <c r="D16" s="108" t="s">
        <v>342</v>
      </c>
      <c r="E16" s="111"/>
      <c r="F16" s="109" t="s">
        <v>338</v>
      </c>
      <c r="G16" s="109" t="s">
        <v>343</v>
      </c>
      <c r="H16" s="117">
        <f>'EGR2 2--copiar en word 1 EGR'!D25</f>
        <v>4.6991940336000004</v>
      </c>
      <c r="J16" s="199" t="s">
        <v>340</v>
      </c>
    </row>
    <row r="17" spans="1:10" x14ac:dyDescent="0.2">
      <c r="A17" s="95"/>
      <c r="B17" s="102"/>
      <c r="C17" s="116" t="s">
        <v>308</v>
      </c>
      <c r="D17" s="113"/>
      <c r="E17" s="111"/>
    </row>
    <row r="18" spans="1:10" x14ac:dyDescent="0.2">
      <c r="A18" s="95"/>
      <c r="B18" s="106" t="s">
        <v>326</v>
      </c>
      <c r="C18" s="107" t="s">
        <v>344</v>
      </c>
      <c r="D18" s="108" t="s">
        <v>345</v>
      </c>
      <c r="E18" s="111"/>
      <c r="F18" s="109" t="s">
        <v>338</v>
      </c>
      <c r="G18" s="309" t="s">
        <v>343</v>
      </c>
      <c r="H18" s="110">
        <f>IF(B18="X",J18*'EGR2 2--copiar en word 1 EGR'!D26,0)</f>
        <v>0.29369962710000003</v>
      </c>
      <c r="J18" s="199">
        <v>0.1</v>
      </c>
    </row>
    <row r="19" spans="1:10" x14ac:dyDescent="0.2">
      <c r="A19" s="95"/>
      <c r="B19" s="106" t="s">
        <v>326</v>
      </c>
      <c r="C19" s="107" t="s">
        <v>346</v>
      </c>
      <c r="D19" s="108" t="s">
        <v>347</v>
      </c>
      <c r="E19" s="111"/>
      <c r="F19" s="109" t="s">
        <v>338</v>
      </c>
      <c r="G19" s="310"/>
      <c r="H19" s="110">
        <f>IF(B19="X",J19*'EGR2 2--copiar en word 1 EGR'!D27,0)</f>
        <v>2.4670768676400005E-2</v>
      </c>
      <c r="J19" s="199">
        <v>7.0000000000000007E-2</v>
      </c>
    </row>
    <row r="20" spans="1:10" x14ac:dyDescent="0.2">
      <c r="A20" s="95"/>
      <c r="B20" s="106"/>
      <c r="C20" s="107" t="s">
        <v>348</v>
      </c>
      <c r="D20" s="108" t="s">
        <v>349</v>
      </c>
      <c r="E20" s="111"/>
      <c r="F20" s="109"/>
      <c r="G20" s="310"/>
      <c r="H20" s="110">
        <f>IF(B20="X",J20*'EGR2 2--copiar en word 1 EGR'!D28,0)</f>
        <v>0</v>
      </c>
      <c r="J20" s="199">
        <v>0.05</v>
      </c>
    </row>
    <row r="21" spans="1:10" x14ac:dyDescent="0.2">
      <c r="A21" s="95"/>
      <c r="B21" s="106"/>
      <c r="C21" s="107" t="s">
        <v>350</v>
      </c>
      <c r="D21" s="108" t="s">
        <v>351</v>
      </c>
      <c r="E21" s="111"/>
      <c r="F21" s="109"/>
      <c r="G21" s="310"/>
      <c r="H21" s="110">
        <f>IF(B21="X",J21*'EGR2 2--copiar en word 1 EGR'!D29,0)</f>
        <v>0</v>
      </c>
      <c r="J21" s="199">
        <v>0.15</v>
      </c>
    </row>
    <row r="22" spans="1:10" x14ac:dyDescent="0.2">
      <c r="A22" s="95"/>
      <c r="B22" s="106" t="s">
        <v>326</v>
      </c>
      <c r="C22" s="107" t="s">
        <v>352</v>
      </c>
      <c r="D22" s="108" t="s">
        <v>353</v>
      </c>
      <c r="E22" s="111"/>
      <c r="F22" s="109" t="s">
        <v>338</v>
      </c>
      <c r="G22" s="310"/>
      <c r="H22" s="110">
        <f>IF(B22="X",'EGR2 2--copiar en word 1 EGR'!D34-H18-H19-H20-H21-H23-H24-H25,0)</f>
        <v>4.3808236378236005</v>
      </c>
      <c r="J22" s="199" t="s">
        <v>331</v>
      </c>
    </row>
    <row r="23" spans="1:10" x14ac:dyDescent="0.2">
      <c r="A23" s="95"/>
      <c r="B23" s="106"/>
      <c r="C23" s="107" t="s">
        <v>354</v>
      </c>
      <c r="D23" s="108" t="s">
        <v>355</v>
      </c>
      <c r="E23" s="111"/>
      <c r="F23" s="109"/>
      <c r="G23" s="310"/>
      <c r="H23" s="110">
        <f>IF(B23="X",J23*'EGR2 2--copiar en word 1 EGR'!D31,0)</f>
        <v>0</v>
      </c>
      <c r="J23" s="199">
        <v>0.1</v>
      </c>
    </row>
    <row r="24" spans="1:10" x14ac:dyDescent="0.2">
      <c r="A24" s="95"/>
      <c r="B24" s="106"/>
      <c r="C24" s="107" t="s">
        <v>354</v>
      </c>
      <c r="D24" s="108" t="s">
        <v>356</v>
      </c>
      <c r="E24" s="111"/>
      <c r="F24" s="109" t="s">
        <v>338</v>
      </c>
      <c r="G24" s="310"/>
      <c r="H24" s="110">
        <f>IF(B24="X",J24*'EGR2 2--copiar en word 1 EGR'!D32,0)</f>
        <v>0</v>
      </c>
      <c r="J24" s="199">
        <v>0.25</v>
      </c>
    </row>
    <row r="25" spans="1:10" x14ac:dyDescent="0.2">
      <c r="A25" s="95"/>
      <c r="B25" s="106"/>
      <c r="C25" s="107" t="s">
        <v>357</v>
      </c>
      <c r="D25" s="108" t="s">
        <v>358</v>
      </c>
      <c r="E25" s="111"/>
      <c r="F25" s="109" t="s">
        <v>338</v>
      </c>
      <c r="G25" s="311"/>
      <c r="H25" s="110">
        <f>IF(B25="X",J25*'EGR2 2--copiar en word 1 EGR'!D33,0)</f>
        <v>0</v>
      </c>
      <c r="J25" s="199">
        <v>0.1</v>
      </c>
    </row>
    <row r="26" spans="1:10" x14ac:dyDescent="0.2">
      <c r="A26" s="95"/>
      <c r="B26" s="102"/>
      <c r="C26" s="118" t="s">
        <v>309</v>
      </c>
      <c r="D26" s="113"/>
      <c r="E26" s="111"/>
    </row>
    <row r="27" spans="1:10" x14ac:dyDescent="0.2">
      <c r="A27" s="95"/>
      <c r="B27" s="106" t="s">
        <v>326</v>
      </c>
      <c r="C27" s="107" t="s">
        <v>359</v>
      </c>
      <c r="D27" s="108" t="s">
        <v>360</v>
      </c>
      <c r="E27" s="111"/>
      <c r="F27" s="109" t="s">
        <v>338</v>
      </c>
      <c r="G27" s="109" t="s">
        <v>343</v>
      </c>
      <c r="H27" s="117">
        <f>'EGR2 2--copiar en word 1 EGR'!D27</f>
        <v>0.35243955252000003</v>
      </c>
      <c r="J27" s="199" t="s">
        <v>340</v>
      </c>
    </row>
    <row r="28" spans="1:10" x14ac:dyDescent="0.2">
      <c r="A28" s="95"/>
      <c r="B28" s="102"/>
      <c r="C28" s="118" t="s">
        <v>310</v>
      </c>
      <c r="D28" s="113"/>
      <c r="E28" s="111"/>
    </row>
    <row r="29" spans="1:10" x14ac:dyDescent="0.2">
      <c r="A29" s="95"/>
      <c r="B29" s="106" t="s">
        <v>326</v>
      </c>
      <c r="C29" s="107" t="s">
        <v>361</v>
      </c>
      <c r="D29" s="108" t="s">
        <v>362</v>
      </c>
      <c r="E29" s="111"/>
      <c r="F29" s="109" t="s">
        <v>338</v>
      </c>
      <c r="G29" s="109" t="s">
        <v>343</v>
      </c>
      <c r="H29" s="117">
        <f>'EGR2 2--copiar en word 1 EGR'!D28</f>
        <v>1.7621977626000001</v>
      </c>
      <c r="J29" s="199" t="s">
        <v>340</v>
      </c>
    </row>
    <row r="30" spans="1:10" x14ac:dyDescent="0.2">
      <c r="A30" s="95"/>
      <c r="B30" s="102"/>
      <c r="C30" s="119" t="s">
        <v>311</v>
      </c>
      <c r="D30" s="113"/>
      <c r="E30" s="111"/>
    </row>
    <row r="31" spans="1:10" x14ac:dyDescent="0.2">
      <c r="A31" s="95"/>
      <c r="B31" s="106"/>
      <c r="C31" s="107" t="s">
        <v>363</v>
      </c>
      <c r="D31" s="108" t="s">
        <v>364</v>
      </c>
      <c r="E31" s="111"/>
      <c r="F31" s="109" t="s">
        <v>338</v>
      </c>
      <c r="G31" s="109" t="s">
        <v>343</v>
      </c>
      <c r="H31" s="117">
        <f>'EGR2 2--copiar en word 1 EGR'!D29</f>
        <v>0.58739925420000005</v>
      </c>
      <c r="J31" s="199" t="s">
        <v>340</v>
      </c>
    </row>
    <row r="32" spans="1:10" x14ac:dyDescent="0.2">
      <c r="A32" s="95"/>
      <c r="B32" s="102"/>
      <c r="C32" s="119" t="s">
        <v>312</v>
      </c>
      <c r="D32" s="113"/>
      <c r="E32" s="111"/>
    </row>
    <row r="33" spans="1:10" ht="12" customHeight="1" x14ac:dyDescent="0.2">
      <c r="A33" s="95"/>
      <c r="B33" s="106"/>
      <c r="C33" s="107" t="s">
        <v>365</v>
      </c>
      <c r="D33" s="108" t="s">
        <v>366</v>
      </c>
      <c r="E33" s="111"/>
      <c r="F33" s="109" t="s">
        <v>338</v>
      </c>
      <c r="G33" s="109" t="s">
        <v>343</v>
      </c>
      <c r="H33" s="117">
        <f>'EGR2 2--copiar en word 1 EGR'!D30</f>
        <v>0.23495970168000002</v>
      </c>
      <c r="J33" s="199" t="s">
        <v>340</v>
      </c>
    </row>
    <row r="34" spans="1:10" x14ac:dyDescent="0.2">
      <c r="A34" s="95"/>
      <c r="B34" s="102"/>
      <c r="C34" s="112"/>
      <c r="D34" s="113"/>
      <c r="E34" s="111"/>
    </row>
    <row r="35" spans="1:10" x14ac:dyDescent="0.2">
      <c r="A35" s="95"/>
      <c r="B35" s="102"/>
      <c r="C35" s="112"/>
      <c r="D35" s="113"/>
      <c r="E35" s="111"/>
    </row>
    <row r="36" spans="1:10" x14ac:dyDescent="0.2">
      <c r="A36" s="95"/>
      <c r="B36" s="102"/>
      <c r="C36" s="99" t="s">
        <v>314</v>
      </c>
      <c r="D36" s="114"/>
      <c r="E36" s="111"/>
      <c r="F36" s="105" t="s">
        <v>323</v>
      </c>
      <c r="G36" s="105" t="s">
        <v>324</v>
      </c>
      <c r="H36" s="105" t="s">
        <v>2</v>
      </c>
    </row>
    <row r="37" spans="1:10" ht="5.25" customHeight="1" x14ac:dyDescent="0.2">
      <c r="A37" s="95"/>
      <c r="B37" s="102"/>
      <c r="C37" s="120"/>
      <c r="D37" s="113"/>
      <c r="E37" s="111"/>
    </row>
    <row r="38" spans="1:10" x14ac:dyDescent="0.2">
      <c r="A38" s="95"/>
      <c r="B38" s="102"/>
      <c r="C38" s="116" t="s">
        <v>315</v>
      </c>
      <c r="D38" s="121"/>
      <c r="E38" s="111"/>
    </row>
    <row r="39" spans="1:10" x14ac:dyDescent="0.2">
      <c r="A39" s="95"/>
      <c r="B39" s="106" t="s">
        <v>326</v>
      </c>
      <c r="C39" s="107" t="s">
        <v>367</v>
      </c>
      <c r="D39" s="108" t="s">
        <v>368</v>
      </c>
      <c r="E39" s="111"/>
      <c r="F39" s="109" t="s">
        <v>338</v>
      </c>
      <c r="G39" s="109" t="s">
        <v>339</v>
      </c>
      <c r="H39" s="110">
        <f>IF(B39="X",J39*'EGR2 2--copiar en word 1 EGR'!D34,0)</f>
        <v>1.1747985084000001</v>
      </c>
      <c r="J39" s="199">
        <v>0.25</v>
      </c>
    </row>
    <row r="40" spans="1:10" x14ac:dyDescent="0.2">
      <c r="A40" s="95"/>
      <c r="B40" s="106" t="s">
        <v>326</v>
      </c>
      <c r="C40" s="122" t="s">
        <v>369</v>
      </c>
      <c r="D40" s="108" t="s">
        <v>370</v>
      </c>
      <c r="E40" s="111"/>
      <c r="F40" s="109" t="s">
        <v>338</v>
      </c>
      <c r="G40" s="109" t="s">
        <v>339</v>
      </c>
      <c r="H40" s="110">
        <f>IF(B40="X",'EGR2 2--copiar en word 1 EGR'!D34-H39,0)</f>
        <v>3.5243955252000001</v>
      </c>
      <c r="J40" s="199" t="s">
        <v>331</v>
      </c>
    </row>
    <row r="41" spans="1:10" x14ac:dyDescent="0.2">
      <c r="A41" s="95"/>
      <c r="B41" s="102"/>
      <c r="C41" s="123"/>
      <c r="D41" s="113"/>
      <c r="E41" s="111"/>
    </row>
    <row r="42" spans="1:10" x14ac:dyDescent="0.2">
      <c r="A42" s="95"/>
      <c r="B42" s="102"/>
      <c r="C42" s="116" t="s">
        <v>316</v>
      </c>
      <c r="D42" s="121"/>
      <c r="E42" s="111"/>
    </row>
    <row r="43" spans="1:10" x14ac:dyDescent="0.2">
      <c r="A43" s="95"/>
      <c r="B43" s="106" t="s">
        <v>326</v>
      </c>
      <c r="C43" s="107" t="s">
        <v>371</v>
      </c>
      <c r="D43" s="108" t="s">
        <v>372</v>
      </c>
      <c r="E43" s="111"/>
      <c r="F43" s="109" t="s">
        <v>373</v>
      </c>
      <c r="G43" s="109" t="s">
        <v>339</v>
      </c>
      <c r="H43" s="117">
        <f>'EGR2 2--copiar en word 1 EGR'!D35</f>
        <v>14.0975821008</v>
      </c>
      <c r="J43" s="199" t="s">
        <v>340</v>
      </c>
    </row>
    <row r="44" spans="1:10" x14ac:dyDescent="0.2">
      <c r="A44" s="95"/>
      <c r="B44" s="102"/>
      <c r="C44" s="112"/>
      <c r="D44" s="113"/>
      <c r="E44" s="111"/>
      <c r="F44" s="112"/>
      <c r="G44" s="124"/>
    </row>
    <row r="45" spans="1:10" x14ac:dyDescent="0.2">
      <c r="A45" s="95"/>
      <c r="B45" s="102"/>
      <c r="C45" s="116" t="s">
        <v>317</v>
      </c>
      <c r="D45" s="121"/>
      <c r="E45" s="111"/>
      <c r="F45" s="112"/>
      <c r="G45" s="124"/>
    </row>
    <row r="46" spans="1:10" x14ac:dyDescent="0.2">
      <c r="A46" s="95"/>
      <c r="B46" s="106"/>
      <c r="C46" s="107" t="s">
        <v>374</v>
      </c>
      <c r="D46" s="108" t="s">
        <v>375</v>
      </c>
      <c r="E46" s="111"/>
      <c r="F46" s="109" t="s">
        <v>338</v>
      </c>
      <c r="G46" s="109" t="s">
        <v>339</v>
      </c>
      <c r="H46" s="110">
        <f>IF(B46="X",J46*'EGR2 2--copiar en word 1 EGR'!D36,0)</f>
        <v>0</v>
      </c>
      <c r="J46" s="199">
        <v>0.35</v>
      </c>
    </row>
    <row r="47" spans="1:10" x14ac:dyDescent="0.2">
      <c r="A47" s="95"/>
      <c r="B47" s="106"/>
      <c r="C47" s="122" t="s">
        <v>376</v>
      </c>
      <c r="D47" s="108" t="s">
        <v>377</v>
      </c>
      <c r="E47" s="111"/>
      <c r="F47" s="109" t="s">
        <v>338</v>
      </c>
      <c r="G47" s="109" t="s">
        <v>339</v>
      </c>
      <c r="H47" s="110">
        <f>IF(B47="X",'EGR2 2--copiar en word 1 EGR'!D36-'EGR 3-copiar en word 2 EGR'!H46-'EGR 3-copiar en word 2 EGR'!H48,0)</f>
        <v>0</v>
      </c>
      <c r="J47" s="199" t="s">
        <v>331</v>
      </c>
    </row>
    <row r="48" spans="1:10" ht="24" x14ac:dyDescent="0.2">
      <c r="A48" s="95"/>
      <c r="B48" s="106"/>
      <c r="C48" s="107" t="s">
        <v>378</v>
      </c>
      <c r="D48" s="125" t="s">
        <v>379</v>
      </c>
      <c r="E48" s="111"/>
      <c r="F48" s="109" t="s">
        <v>373</v>
      </c>
      <c r="G48" s="109" t="s">
        <v>339</v>
      </c>
      <c r="H48" s="110">
        <f>IF(B48="X",J48*'EGR2 2--copiar en word 1 EGR'!D38,0)</f>
        <v>0</v>
      </c>
      <c r="J48" s="199">
        <v>0.25</v>
      </c>
    </row>
    <row r="49" spans="1:10" x14ac:dyDescent="0.2">
      <c r="A49" s="95"/>
      <c r="B49" s="102"/>
      <c r="C49" s="112"/>
      <c r="D49" s="113"/>
      <c r="E49" s="111"/>
    </row>
    <row r="50" spans="1:10" x14ac:dyDescent="0.2">
      <c r="A50" s="95"/>
      <c r="B50" s="102"/>
      <c r="C50" s="126" t="s">
        <v>318</v>
      </c>
      <c r="D50" s="121"/>
      <c r="E50" s="111"/>
    </row>
    <row r="51" spans="1:10" x14ac:dyDescent="0.2">
      <c r="A51" s="95"/>
      <c r="B51" s="106" t="s">
        <v>326</v>
      </c>
      <c r="C51" s="127" t="s">
        <v>380</v>
      </c>
      <c r="D51" s="128" t="s">
        <v>381</v>
      </c>
      <c r="E51" s="111"/>
      <c r="F51" s="109" t="s">
        <v>338</v>
      </c>
      <c r="G51" s="109"/>
      <c r="H51" s="117">
        <f>'EGR2 2--copiar en word 1 EGR'!D37</f>
        <v>5.8739925420000008</v>
      </c>
      <c r="J51" s="199" t="s">
        <v>340</v>
      </c>
    </row>
    <row r="52" spans="1:10" x14ac:dyDescent="0.2">
      <c r="A52" s="95"/>
      <c r="B52" s="102"/>
      <c r="C52" s="112"/>
      <c r="D52" s="113"/>
      <c r="E52" s="111"/>
    </row>
    <row r="53" spans="1:10" x14ac:dyDescent="0.2">
      <c r="A53" s="95"/>
      <c r="B53" s="102"/>
      <c r="C53" s="112"/>
      <c r="D53" s="113"/>
      <c r="E53" s="111"/>
    </row>
    <row r="54" spans="1:10" x14ac:dyDescent="0.2">
      <c r="A54" s="95"/>
      <c r="B54" s="102"/>
      <c r="C54" s="99" t="s">
        <v>319</v>
      </c>
      <c r="D54" s="114"/>
      <c r="E54" s="111"/>
      <c r="F54" s="105" t="s">
        <v>323</v>
      </c>
      <c r="G54" s="105" t="s">
        <v>324</v>
      </c>
      <c r="H54" s="105" t="s">
        <v>2</v>
      </c>
    </row>
    <row r="55" spans="1:10" ht="5.25" customHeight="1" x14ac:dyDescent="0.2">
      <c r="A55" s="95"/>
      <c r="B55" s="102"/>
      <c r="C55" s="129"/>
      <c r="D55" s="113"/>
      <c r="E55" s="111"/>
    </row>
    <row r="56" spans="1:10" x14ac:dyDescent="0.2">
      <c r="A56" s="95"/>
      <c r="B56" s="102"/>
      <c r="C56" s="126" t="s">
        <v>320</v>
      </c>
      <c r="D56" s="121"/>
      <c r="E56" s="111"/>
    </row>
    <row r="57" spans="1:10" x14ac:dyDescent="0.2">
      <c r="A57" s="95"/>
      <c r="B57" s="106" t="s">
        <v>326</v>
      </c>
      <c r="C57" s="127" t="s">
        <v>382</v>
      </c>
      <c r="D57" s="128" t="s">
        <v>383</v>
      </c>
      <c r="E57" s="111"/>
      <c r="F57" s="109" t="s">
        <v>373</v>
      </c>
      <c r="G57" s="109" t="s">
        <v>384</v>
      </c>
      <c r="H57" s="110">
        <f>IF(B57="X",J57*'EGR2 2--copiar en word 1 EGR'!D41,0)</f>
        <v>2.8782563455800005</v>
      </c>
      <c r="J57" s="199">
        <v>0.35</v>
      </c>
    </row>
    <row r="58" spans="1:10" x14ac:dyDescent="0.2">
      <c r="A58" s="95"/>
      <c r="B58" s="106" t="s">
        <v>326</v>
      </c>
      <c r="C58" s="122" t="s">
        <v>385</v>
      </c>
      <c r="D58" s="108" t="s">
        <v>386</v>
      </c>
      <c r="E58" s="111"/>
      <c r="F58" s="109" t="s">
        <v>373</v>
      </c>
      <c r="G58" s="109" t="s">
        <v>384</v>
      </c>
      <c r="H58" s="110">
        <f>IF(B58="X",'EGR2 2--copiar en word 1 EGR'!D41-'EGR 3-copiar en word 2 EGR'!H57,0)</f>
        <v>5.3453332132200018</v>
      </c>
      <c r="J58" s="199" t="s">
        <v>331</v>
      </c>
    </row>
    <row r="60" spans="1:10" x14ac:dyDescent="0.2">
      <c r="A60" s="95"/>
      <c r="B60" s="102"/>
      <c r="C60" s="126" t="s">
        <v>321</v>
      </c>
      <c r="D60" s="121"/>
      <c r="E60" s="111"/>
    </row>
    <row r="61" spans="1:10" ht="24" x14ac:dyDescent="0.2">
      <c r="A61" s="95"/>
      <c r="B61" s="106"/>
      <c r="C61" s="127" t="s">
        <v>387</v>
      </c>
      <c r="D61" s="128" t="s">
        <v>388</v>
      </c>
      <c r="E61" s="111"/>
      <c r="F61" s="109" t="s">
        <v>389</v>
      </c>
      <c r="G61" s="309" t="s">
        <v>390</v>
      </c>
      <c r="H61" s="110">
        <f>IF(B61="X",J61*'EGR2 2--copiar en word 1 EGR'!$D$42,0)</f>
        <v>0</v>
      </c>
      <c r="J61" s="199">
        <v>0.01</v>
      </c>
    </row>
    <row r="62" spans="1:10" x14ac:dyDescent="0.2">
      <c r="A62" s="95"/>
      <c r="B62" s="106"/>
      <c r="C62" s="122" t="s">
        <v>391</v>
      </c>
      <c r="D62" s="108" t="s">
        <v>392</v>
      </c>
      <c r="E62" s="111"/>
      <c r="F62" s="109" t="s">
        <v>393</v>
      </c>
      <c r="G62" s="310"/>
      <c r="H62" s="110">
        <f>IF(B62="X",J62*'EGR2 2--copiar en word 1 EGR'!$D$42,0)</f>
        <v>0</v>
      </c>
      <c r="J62" s="199">
        <v>0.01</v>
      </c>
    </row>
    <row r="63" spans="1:10" x14ac:dyDescent="0.2">
      <c r="B63" s="130"/>
      <c r="C63" s="109" t="s">
        <v>394</v>
      </c>
      <c r="D63" s="131" t="s">
        <v>395</v>
      </c>
      <c r="F63" s="109" t="s">
        <v>396</v>
      </c>
      <c r="G63" s="310"/>
      <c r="H63" s="110">
        <f>IF(B63="X",J63*'EGR2 2--copiar en word 1 EGR'!$D$42,0)</f>
        <v>0</v>
      </c>
      <c r="J63" s="199">
        <v>0.04</v>
      </c>
    </row>
    <row r="64" spans="1:10" x14ac:dyDescent="0.2">
      <c r="B64" s="130"/>
      <c r="C64" s="109" t="s">
        <v>397</v>
      </c>
      <c r="D64" s="131" t="s">
        <v>398</v>
      </c>
      <c r="F64" s="109" t="s">
        <v>396</v>
      </c>
      <c r="G64" s="310"/>
      <c r="H64" s="110">
        <f>IF(B64="X",J64*'EGR2 2--copiar en word 1 EGR'!$D$42,0)</f>
        <v>0</v>
      </c>
      <c r="J64" s="199">
        <v>1.4999999999999999E-2</v>
      </c>
    </row>
    <row r="65" spans="2:10" x14ac:dyDescent="0.2">
      <c r="B65" s="130"/>
      <c r="C65" s="109" t="s">
        <v>399</v>
      </c>
      <c r="D65" s="131" t="s">
        <v>400</v>
      </c>
      <c r="F65" s="109" t="s">
        <v>393</v>
      </c>
      <c r="G65" s="310"/>
      <c r="H65" s="110">
        <f>IF(B65="X",J65*'EGR2 2--copiar en word 1 EGR'!$D$42,0)</f>
        <v>0</v>
      </c>
      <c r="J65" s="199">
        <v>0.01</v>
      </c>
    </row>
    <row r="66" spans="2:10" x14ac:dyDescent="0.2">
      <c r="B66" s="130"/>
      <c r="C66" s="109" t="s">
        <v>401</v>
      </c>
      <c r="D66" s="131" t="s">
        <v>402</v>
      </c>
      <c r="F66" s="109" t="s">
        <v>393</v>
      </c>
      <c r="G66" s="310"/>
      <c r="H66" s="110">
        <f>IF(B66="X",J66*'EGR2 2--copiar en word 1 EGR'!$D$42,0)</f>
        <v>0</v>
      </c>
      <c r="J66" s="199">
        <v>0.2</v>
      </c>
    </row>
    <row r="67" spans="2:10" x14ac:dyDescent="0.2">
      <c r="B67" s="130"/>
      <c r="C67" s="109" t="s">
        <v>403</v>
      </c>
      <c r="D67" s="131" t="s">
        <v>404</v>
      </c>
      <c r="F67" s="109" t="s">
        <v>389</v>
      </c>
      <c r="G67" s="310"/>
      <c r="H67" s="110">
        <f>IF(B67="X",J67*'EGR2 2--copiar en word 1 EGR'!$D$42,0)</f>
        <v>0</v>
      </c>
      <c r="J67" s="199">
        <v>0.01</v>
      </c>
    </row>
    <row r="68" spans="2:10" x14ac:dyDescent="0.2">
      <c r="B68" s="130"/>
      <c r="C68" s="109" t="s">
        <v>405</v>
      </c>
      <c r="D68" s="131" t="s">
        <v>406</v>
      </c>
      <c r="F68" s="109" t="s">
        <v>389</v>
      </c>
      <c r="G68" s="310"/>
      <c r="H68" s="110">
        <f>IF(B68="X",J68*'EGR2 2--copiar en word 1 EGR'!$D$42,0)</f>
        <v>0</v>
      </c>
      <c r="J68" s="199">
        <v>0.01</v>
      </c>
    </row>
    <row r="69" spans="2:10" x14ac:dyDescent="0.2">
      <c r="B69" s="130"/>
      <c r="C69" s="109" t="s">
        <v>407</v>
      </c>
      <c r="D69" s="131" t="s">
        <v>408</v>
      </c>
      <c r="F69" s="109" t="s">
        <v>389</v>
      </c>
      <c r="G69" s="310"/>
      <c r="H69" s="110">
        <f>IF(B69="X",J69*'EGR2 2--copiar en word 1 EGR'!$D$42,0)</f>
        <v>0</v>
      </c>
      <c r="J69" s="199">
        <v>0.01</v>
      </c>
    </row>
    <row r="70" spans="2:10" x14ac:dyDescent="0.2">
      <c r="B70" s="130"/>
      <c r="C70" s="109" t="s">
        <v>409</v>
      </c>
      <c r="D70" s="131" t="s">
        <v>410</v>
      </c>
      <c r="F70" s="109" t="s">
        <v>393</v>
      </c>
      <c r="G70" s="310"/>
      <c r="H70" s="110">
        <f>IF(B70="X",J70*'EGR2 2--copiar en word 1 EGR'!$D$42,0)</f>
        <v>0</v>
      </c>
      <c r="J70" s="199">
        <v>0.01</v>
      </c>
    </row>
    <row r="71" spans="2:10" x14ac:dyDescent="0.2">
      <c r="B71" s="130"/>
      <c r="C71" s="109" t="s">
        <v>411</v>
      </c>
      <c r="D71" s="131" t="s">
        <v>412</v>
      </c>
      <c r="F71" s="109" t="s">
        <v>389</v>
      </c>
      <c r="G71" s="310"/>
      <c r="H71" s="110">
        <f>IF(B71="X",J71*'EGR2 2--copiar en word 1 EGR'!$D$42,0)</f>
        <v>0</v>
      </c>
      <c r="J71" s="199">
        <v>0.01</v>
      </c>
    </row>
    <row r="72" spans="2:10" x14ac:dyDescent="0.2">
      <c r="B72" s="130"/>
      <c r="C72" s="109" t="s">
        <v>413</v>
      </c>
      <c r="D72" s="131" t="s">
        <v>414</v>
      </c>
      <c r="F72" s="109" t="s">
        <v>389</v>
      </c>
      <c r="G72" s="310"/>
      <c r="H72" s="110">
        <f>IF(B72="X",J72*'EGR2 2--copiar en word 1 EGR'!$D$42,0)</f>
        <v>0</v>
      </c>
      <c r="J72" s="199">
        <v>0.01</v>
      </c>
    </row>
    <row r="73" spans="2:10" x14ac:dyDescent="0.2">
      <c r="B73" s="130"/>
      <c r="C73" s="109" t="s">
        <v>415</v>
      </c>
      <c r="D73" s="131" t="s">
        <v>416</v>
      </c>
      <c r="F73" s="109" t="s">
        <v>389</v>
      </c>
      <c r="G73" s="311"/>
      <c r="H73" s="110">
        <f>IF(B73="X",J73*'EGR2 2--copiar en word 1 EGR'!$D$42,0)</f>
        <v>0</v>
      </c>
      <c r="J73" s="199">
        <v>0.01</v>
      </c>
    </row>
    <row r="74" spans="2:10" x14ac:dyDescent="0.2">
      <c r="B74" s="130"/>
      <c r="C74" s="109" t="s">
        <v>417</v>
      </c>
      <c r="D74" s="131" t="s">
        <v>418</v>
      </c>
      <c r="F74" s="109" t="s">
        <v>338</v>
      </c>
      <c r="G74" s="109" t="s">
        <v>343</v>
      </c>
      <c r="H74" s="110">
        <f>IF(B74="X",J74*'EGR2 2--copiar en word 1 EGR'!$D$42,0)</f>
        <v>0</v>
      </c>
      <c r="J74" s="199">
        <v>0.01</v>
      </c>
    </row>
    <row r="75" spans="2:10" x14ac:dyDescent="0.2">
      <c r="B75" s="130" t="s">
        <v>326</v>
      </c>
      <c r="C75" s="109" t="s">
        <v>419</v>
      </c>
      <c r="D75" s="131" t="s">
        <v>420</v>
      </c>
      <c r="F75" s="109" t="s">
        <v>393</v>
      </c>
      <c r="G75" s="309" t="s">
        <v>390</v>
      </c>
      <c r="H75" s="110">
        <f>IF(B75="X",J75*'EGR2 2--copiar en word 1 EGR'!$D$42,0)</f>
        <v>4.6991940336000008E-2</v>
      </c>
      <c r="J75" s="199">
        <v>0.01</v>
      </c>
    </row>
    <row r="76" spans="2:10" x14ac:dyDescent="0.2">
      <c r="B76" s="130"/>
      <c r="C76" s="109" t="s">
        <v>421</v>
      </c>
      <c r="D76" s="131" t="s">
        <v>422</v>
      </c>
      <c r="F76" s="109" t="s">
        <v>393</v>
      </c>
      <c r="G76" s="310"/>
      <c r="H76" s="110">
        <f>IF(B76="X",J76*'EGR2 2--copiar en word 1 EGR'!$D$42,0)</f>
        <v>0</v>
      </c>
      <c r="J76" s="199">
        <v>0.01</v>
      </c>
    </row>
    <row r="77" spans="2:10" x14ac:dyDescent="0.2">
      <c r="B77" s="130"/>
      <c r="C77" s="109" t="s">
        <v>423</v>
      </c>
      <c r="D77" s="131" t="s">
        <v>424</v>
      </c>
      <c r="F77" s="109" t="s">
        <v>396</v>
      </c>
      <c r="G77" s="310"/>
      <c r="H77" s="110">
        <f>IF(B77="X",J77*'EGR2 2--copiar en word 1 EGR'!$D$42,0)</f>
        <v>0</v>
      </c>
      <c r="J77" s="199">
        <v>0.01</v>
      </c>
    </row>
    <row r="78" spans="2:10" x14ac:dyDescent="0.2">
      <c r="B78" s="130" t="s">
        <v>326</v>
      </c>
      <c r="C78" s="109" t="s">
        <v>425</v>
      </c>
      <c r="D78" s="131" t="s">
        <v>426</v>
      </c>
      <c r="F78" s="109" t="s">
        <v>396</v>
      </c>
      <c r="G78" s="310"/>
      <c r="H78" s="110">
        <f>IF(B78="X",J78*'EGR2 2--copiar en word 1 EGR'!$D$42,0)</f>
        <v>4.6991940336000008E-2</v>
      </c>
      <c r="J78" s="199">
        <v>0.01</v>
      </c>
    </row>
    <row r="79" spans="2:10" x14ac:dyDescent="0.2">
      <c r="B79" s="130"/>
      <c r="C79" s="109" t="s">
        <v>427</v>
      </c>
      <c r="D79" s="131" t="s">
        <v>428</v>
      </c>
      <c r="F79" s="109" t="s">
        <v>396</v>
      </c>
      <c r="G79" s="310"/>
      <c r="H79" s="110">
        <f>IF(B79="X",J79*'EGR2 2--copiar en word 1 EGR'!$D$42,0)</f>
        <v>0</v>
      </c>
      <c r="J79" s="199">
        <v>0.02</v>
      </c>
    </row>
    <row r="80" spans="2:10" x14ac:dyDescent="0.2">
      <c r="B80" s="130"/>
      <c r="C80" s="109" t="s">
        <v>429</v>
      </c>
      <c r="D80" s="131" t="s">
        <v>430</v>
      </c>
      <c r="F80" s="109" t="s">
        <v>396</v>
      </c>
      <c r="G80" s="310"/>
      <c r="H80" s="110">
        <f>IF(B80="X",J80*'EGR2 2--copiar en word 1 EGR'!$D$42,0)</f>
        <v>0</v>
      </c>
      <c r="J80" s="199">
        <v>0.01</v>
      </c>
    </row>
    <row r="81" spans="2:10" x14ac:dyDescent="0.2">
      <c r="B81" s="130"/>
      <c r="C81" s="109" t="s">
        <v>431</v>
      </c>
      <c r="D81" s="131" t="s">
        <v>432</v>
      </c>
      <c r="F81" s="109" t="s">
        <v>396</v>
      </c>
      <c r="G81" s="310"/>
      <c r="H81" s="110">
        <f>IF(B81="X",J81*'EGR2 2--copiar en word 1 EGR'!$D$42,0)</f>
        <v>0</v>
      </c>
      <c r="J81" s="199">
        <v>0.02</v>
      </c>
    </row>
    <row r="82" spans="2:10" x14ac:dyDescent="0.2">
      <c r="B82" s="130"/>
      <c r="C82" s="109" t="s">
        <v>433</v>
      </c>
      <c r="D82" s="131" t="s">
        <v>434</v>
      </c>
      <c r="F82" s="109" t="s">
        <v>396</v>
      </c>
      <c r="G82" s="310"/>
      <c r="H82" s="110">
        <f>IF(B82="X",J82*'EGR2 2--copiar en word 1 EGR'!$D$42,0)</f>
        <v>0</v>
      </c>
      <c r="J82" s="199">
        <v>0.01</v>
      </c>
    </row>
    <row r="83" spans="2:10" x14ac:dyDescent="0.2">
      <c r="B83" s="130"/>
      <c r="C83" s="109" t="s">
        <v>435</v>
      </c>
      <c r="D83" s="131" t="s">
        <v>436</v>
      </c>
      <c r="F83" s="109" t="s">
        <v>396</v>
      </c>
      <c r="G83" s="310"/>
      <c r="H83" s="110">
        <f>IF(B83="X",J83*'EGR2 2--copiar en word 1 EGR'!$D$42,0)</f>
        <v>0</v>
      </c>
      <c r="J83" s="199">
        <v>0.01</v>
      </c>
    </row>
    <row r="84" spans="2:10" x14ac:dyDescent="0.2">
      <c r="B84" s="130" t="s">
        <v>326</v>
      </c>
      <c r="C84" s="109" t="s">
        <v>437</v>
      </c>
      <c r="D84" s="131" t="s">
        <v>438</v>
      </c>
      <c r="F84" s="109" t="s">
        <v>396</v>
      </c>
      <c r="G84" s="310"/>
      <c r="H84" s="110">
        <f>IF(B84="X",'EGR2 2--copiar en word 1 EGR'!D42-'EGR 3-copiar en word 2 EGR'!H93,0)</f>
        <v>4.3702504512480003</v>
      </c>
      <c r="J84" s="199" t="s">
        <v>331</v>
      </c>
    </row>
    <row r="85" spans="2:10" x14ac:dyDescent="0.2">
      <c r="B85" s="130"/>
      <c r="C85" s="109" t="s">
        <v>439</v>
      </c>
      <c r="D85" s="131" t="s">
        <v>440</v>
      </c>
      <c r="F85" s="109" t="s">
        <v>396</v>
      </c>
      <c r="G85" s="310"/>
      <c r="H85" s="110">
        <f>IF(B85="X",J85*'EGR2 2--copiar en word 1 EGR'!$D$42,0)</f>
        <v>0</v>
      </c>
      <c r="J85" s="199">
        <v>0.2</v>
      </c>
    </row>
    <row r="86" spans="2:10" x14ac:dyDescent="0.2">
      <c r="B86" s="130"/>
      <c r="C86" s="109" t="s">
        <v>441</v>
      </c>
      <c r="D86" s="131" t="s">
        <v>442</v>
      </c>
      <c r="F86" s="109" t="s">
        <v>396</v>
      </c>
      <c r="G86" s="310"/>
      <c r="H86" s="110">
        <f>IF(B86="X",J86*'EGR2 2--copiar en word 1 EGR'!$D$42,0)</f>
        <v>0</v>
      </c>
      <c r="J86" s="199">
        <v>1.4999999999999999E-2</v>
      </c>
    </row>
    <row r="87" spans="2:10" x14ac:dyDescent="0.2">
      <c r="B87" s="130"/>
      <c r="C87" s="109" t="s">
        <v>443</v>
      </c>
      <c r="D87" s="131" t="s">
        <v>444</v>
      </c>
      <c r="F87" s="109" t="s">
        <v>396</v>
      </c>
      <c r="G87" s="310"/>
      <c r="H87" s="110">
        <f>IF(B87="X",J87*'EGR2 2--copiar en word 1 EGR'!$D$42,0)</f>
        <v>0</v>
      </c>
      <c r="J87" s="199">
        <v>7.4999999999999997E-2</v>
      </c>
    </row>
    <row r="88" spans="2:10" x14ac:dyDescent="0.2">
      <c r="B88" s="130" t="s">
        <v>326</v>
      </c>
      <c r="C88" s="109" t="s">
        <v>445</v>
      </c>
      <c r="D88" s="131" t="s">
        <v>446</v>
      </c>
      <c r="F88" s="109" t="s">
        <v>396</v>
      </c>
      <c r="G88" s="310"/>
      <c r="H88" s="110">
        <f>IF(B88="X",J88*'EGR2 2--copiar en word 1 EGR'!$D$42,0)</f>
        <v>0.23495970168000002</v>
      </c>
      <c r="J88" s="199">
        <v>0.05</v>
      </c>
    </row>
    <row r="89" spans="2:10" x14ac:dyDescent="0.2">
      <c r="B89" s="130"/>
      <c r="C89" s="109" t="s">
        <v>447</v>
      </c>
      <c r="D89" s="131" t="s">
        <v>448</v>
      </c>
      <c r="F89" s="109" t="s">
        <v>396</v>
      </c>
      <c r="G89" s="310"/>
      <c r="H89" s="110">
        <f>IF(B89="X",J89*'EGR2 2--copiar en word 1 EGR'!$D$42,0)</f>
        <v>0</v>
      </c>
      <c r="J89" s="199">
        <v>0.01</v>
      </c>
    </row>
    <row r="90" spans="2:10" x14ac:dyDescent="0.2">
      <c r="B90" s="130"/>
      <c r="C90" s="109" t="s">
        <v>449</v>
      </c>
      <c r="D90" s="131" t="s">
        <v>450</v>
      </c>
      <c r="F90" s="109" t="s">
        <v>396</v>
      </c>
      <c r="G90" s="311"/>
      <c r="H90" s="110">
        <f>IF(B90="X",J90*'EGR2 2--copiar en word 1 EGR'!$D$42,0)</f>
        <v>0</v>
      </c>
      <c r="J90" s="199">
        <v>0.05</v>
      </c>
    </row>
    <row r="91" spans="2:10" x14ac:dyDescent="0.2">
      <c r="B91" s="130"/>
      <c r="C91" s="109" t="s">
        <v>380</v>
      </c>
      <c r="D91" s="131" t="s">
        <v>451</v>
      </c>
      <c r="F91" s="109" t="s">
        <v>396</v>
      </c>
      <c r="G91" s="109" t="s">
        <v>330</v>
      </c>
      <c r="H91" s="110">
        <f>IF(B91="X",J91*'EGR2 2--copiar en word 1 EGR'!$D$42,0)</f>
        <v>0</v>
      </c>
      <c r="J91" s="199">
        <v>0.02</v>
      </c>
    </row>
    <row r="93" spans="2:10" x14ac:dyDescent="0.2">
      <c r="H93" s="135">
        <f>SUM(H61:H83,H85:H91)</f>
        <v>0.32894358235200005</v>
      </c>
    </row>
  </sheetData>
  <mergeCells count="6">
    <mergeCell ref="G75:G90"/>
    <mergeCell ref="B2:D2"/>
    <mergeCell ref="C4:D4"/>
    <mergeCell ref="B9:D9"/>
    <mergeCell ref="G18:G25"/>
    <mergeCell ref="G61:G73"/>
  </mergeCells>
  <dataValidations count="1">
    <dataValidation type="list" allowBlank="1" showInputMessage="1" showErrorMessage="1" sqref="F43 JB43 SX43 ACT43 AMP43 AWL43 BGH43 BQD43 BZZ43 CJV43 CTR43 DDN43 DNJ43 DXF43 EHB43 EQX43 FAT43 FKP43 FUL43 GEH43 GOD43 GXZ43 HHV43 HRR43 IBN43 ILJ43 IVF43 JFB43 JOX43 JYT43 KIP43 KSL43 LCH43 LMD43 LVZ43 MFV43 MPR43 MZN43 NJJ43 NTF43 ODB43 OMX43 OWT43 PGP43 PQL43 QAH43 QKD43 QTZ43 RDV43 RNR43 RXN43 SHJ43 SRF43 TBB43 TKX43 TUT43 UEP43 UOL43 UYH43 VID43 VRZ43 WBV43 WLR43 WVN43 F65579 JB65579 SX65579 ACT65579 AMP65579 AWL65579 BGH65579 BQD65579 BZZ65579 CJV65579 CTR65579 DDN65579 DNJ65579 DXF65579 EHB65579 EQX65579 FAT65579 FKP65579 FUL65579 GEH65579 GOD65579 GXZ65579 HHV65579 HRR65579 IBN65579 ILJ65579 IVF65579 JFB65579 JOX65579 JYT65579 KIP65579 KSL65579 LCH65579 LMD65579 LVZ65579 MFV65579 MPR65579 MZN65579 NJJ65579 NTF65579 ODB65579 OMX65579 OWT65579 PGP65579 PQL65579 QAH65579 QKD65579 QTZ65579 RDV65579 RNR65579 RXN65579 SHJ65579 SRF65579 TBB65579 TKX65579 TUT65579 UEP65579 UOL65579 UYH65579 VID65579 VRZ65579 WBV65579 WLR65579 WVN65579 F131115 JB131115 SX131115 ACT131115 AMP131115 AWL131115 BGH131115 BQD131115 BZZ131115 CJV131115 CTR131115 DDN131115 DNJ131115 DXF131115 EHB131115 EQX131115 FAT131115 FKP131115 FUL131115 GEH131115 GOD131115 GXZ131115 HHV131115 HRR131115 IBN131115 ILJ131115 IVF131115 JFB131115 JOX131115 JYT131115 KIP131115 KSL131115 LCH131115 LMD131115 LVZ131115 MFV131115 MPR131115 MZN131115 NJJ131115 NTF131115 ODB131115 OMX131115 OWT131115 PGP131115 PQL131115 QAH131115 QKD131115 QTZ131115 RDV131115 RNR131115 RXN131115 SHJ131115 SRF131115 TBB131115 TKX131115 TUT131115 UEP131115 UOL131115 UYH131115 VID131115 VRZ131115 WBV131115 WLR131115 WVN131115 F196651 JB196651 SX196651 ACT196651 AMP196651 AWL196651 BGH196651 BQD196651 BZZ196651 CJV196651 CTR196651 DDN196651 DNJ196651 DXF196651 EHB196651 EQX196651 FAT196651 FKP196651 FUL196651 GEH196651 GOD196651 GXZ196651 HHV196651 HRR196651 IBN196651 ILJ196651 IVF196651 JFB196651 JOX196651 JYT196651 KIP196651 KSL196651 LCH196651 LMD196651 LVZ196651 MFV196651 MPR196651 MZN196651 NJJ196651 NTF196651 ODB196651 OMX196651 OWT196651 PGP196651 PQL196651 QAH196651 QKD196651 QTZ196651 RDV196651 RNR196651 RXN196651 SHJ196651 SRF196651 TBB196651 TKX196651 TUT196651 UEP196651 UOL196651 UYH196651 VID196651 VRZ196651 WBV196651 WLR196651 WVN196651 F262187 JB262187 SX262187 ACT262187 AMP262187 AWL262187 BGH262187 BQD262187 BZZ262187 CJV262187 CTR262187 DDN262187 DNJ262187 DXF262187 EHB262187 EQX262187 FAT262187 FKP262187 FUL262187 GEH262187 GOD262187 GXZ262187 HHV262187 HRR262187 IBN262187 ILJ262187 IVF262187 JFB262187 JOX262187 JYT262187 KIP262187 KSL262187 LCH262187 LMD262187 LVZ262187 MFV262187 MPR262187 MZN262187 NJJ262187 NTF262187 ODB262187 OMX262187 OWT262187 PGP262187 PQL262187 QAH262187 QKD262187 QTZ262187 RDV262187 RNR262187 RXN262187 SHJ262187 SRF262187 TBB262187 TKX262187 TUT262187 UEP262187 UOL262187 UYH262187 VID262187 VRZ262187 WBV262187 WLR262187 WVN262187 F327723 JB327723 SX327723 ACT327723 AMP327723 AWL327723 BGH327723 BQD327723 BZZ327723 CJV327723 CTR327723 DDN327723 DNJ327723 DXF327723 EHB327723 EQX327723 FAT327723 FKP327723 FUL327723 GEH327723 GOD327723 GXZ327723 HHV327723 HRR327723 IBN327723 ILJ327723 IVF327723 JFB327723 JOX327723 JYT327723 KIP327723 KSL327723 LCH327723 LMD327723 LVZ327723 MFV327723 MPR327723 MZN327723 NJJ327723 NTF327723 ODB327723 OMX327723 OWT327723 PGP327723 PQL327723 QAH327723 QKD327723 QTZ327723 RDV327723 RNR327723 RXN327723 SHJ327723 SRF327723 TBB327723 TKX327723 TUT327723 UEP327723 UOL327723 UYH327723 VID327723 VRZ327723 WBV327723 WLR327723 WVN327723 F393259 JB393259 SX393259 ACT393259 AMP393259 AWL393259 BGH393259 BQD393259 BZZ393259 CJV393259 CTR393259 DDN393259 DNJ393259 DXF393259 EHB393259 EQX393259 FAT393259 FKP393259 FUL393259 GEH393259 GOD393259 GXZ393259 HHV393259 HRR393259 IBN393259 ILJ393259 IVF393259 JFB393259 JOX393259 JYT393259 KIP393259 KSL393259 LCH393259 LMD393259 LVZ393259 MFV393259 MPR393259 MZN393259 NJJ393259 NTF393259 ODB393259 OMX393259 OWT393259 PGP393259 PQL393259 QAH393259 QKD393259 QTZ393259 RDV393259 RNR393259 RXN393259 SHJ393259 SRF393259 TBB393259 TKX393259 TUT393259 UEP393259 UOL393259 UYH393259 VID393259 VRZ393259 WBV393259 WLR393259 WVN393259 F458795 JB458795 SX458795 ACT458795 AMP458795 AWL458795 BGH458795 BQD458795 BZZ458795 CJV458795 CTR458795 DDN458795 DNJ458795 DXF458795 EHB458795 EQX458795 FAT458795 FKP458795 FUL458795 GEH458795 GOD458795 GXZ458795 HHV458795 HRR458795 IBN458795 ILJ458795 IVF458795 JFB458795 JOX458795 JYT458795 KIP458795 KSL458795 LCH458795 LMD458795 LVZ458795 MFV458795 MPR458795 MZN458795 NJJ458795 NTF458795 ODB458795 OMX458795 OWT458795 PGP458795 PQL458795 QAH458795 QKD458795 QTZ458795 RDV458795 RNR458795 RXN458795 SHJ458795 SRF458795 TBB458795 TKX458795 TUT458795 UEP458795 UOL458795 UYH458795 VID458795 VRZ458795 WBV458795 WLR458795 WVN458795 F524331 JB524331 SX524331 ACT524331 AMP524331 AWL524331 BGH524331 BQD524331 BZZ524331 CJV524331 CTR524331 DDN524331 DNJ524331 DXF524331 EHB524331 EQX524331 FAT524331 FKP524331 FUL524331 GEH524331 GOD524331 GXZ524331 HHV524331 HRR524331 IBN524331 ILJ524331 IVF524331 JFB524331 JOX524331 JYT524331 KIP524331 KSL524331 LCH524331 LMD524331 LVZ524331 MFV524331 MPR524331 MZN524331 NJJ524331 NTF524331 ODB524331 OMX524331 OWT524331 PGP524331 PQL524331 QAH524331 QKD524331 QTZ524331 RDV524331 RNR524331 RXN524331 SHJ524331 SRF524331 TBB524331 TKX524331 TUT524331 UEP524331 UOL524331 UYH524331 VID524331 VRZ524331 WBV524331 WLR524331 WVN524331 F589867 JB589867 SX589867 ACT589867 AMP589867 AWL589867 BGH589867 BQD589867 BZZ589867 CJV589867 CTR589867 DDN589867 DNJ589867 DXF589867 EHB589867 EQX589867 FAT589867 FKP589867 FUL589867 GEH589867 GOD589867 GXZ589867 HHV589867 HRR589867 IBN589867 ILJ589867 IVF589867 JFB589867 JOX589867 JYT589867 KIP589867 KSL589867 LCH589867 LMD589867 LVZ589867 MFV589867 MPR589867 MZN589867 NJJ589867 NTF589867 ODB589867 OMX589867 OWT589867 PGP589867 PQL589867 QAH589867 QKD589867 QTZ589867 RDV589867 RNR589867 RXN589867 SHJ589867 SRF589867 TBB589867 TKX589867 TUT589867 UEP589867 UOL589867 UYH589867 VID589867 VRZ589867 WBV589867 WLR589867 WVN589867 F655403 JB655403 SX655403 ACT655403 AMP655403 AWL655403 BGH655403 BQD655403 BZZ655403 CJV655403 CTR655403 DDN655403 DNJ655403 DXF655403 EHB655403 EQX655403 FAT655403 FKP655403 FUL655403 GEH655403 GOD655403 GXZ655403 HHV655403 HRR655403 IBN655403 ILJ655403 IVF655403 JFB655403 JOX655403 JYT655403 KIP655403 KSL655403 LCH655403 LMD655403 LVZ655403 MFV655403 MPR655403 MZN655403 NJJ655403 NTF655403 ODB655403 OMX655403 OWT655403 PGP655403 PQL655403 QAH655403 QKD655403 QTZ655403 RDV655403 RNR655403 RXN655403 SHJ655403 SRF655403 TBB655403 TKX655403 TUT655403 UEP655403 UOL655403 UYH655403 VID655403 VRZ655403 WBV655403 WLR655403 WVN655403 F720939 JB720939 SX720939 ACT720939 AMP720939 AWL720939 BGH720939 BQD720939 BZZ720939 CJV720939 CTR720939 DDN720939 DNJ720939 DXF720939 EHB720939 EQX720939 FAT720939 FKP720939 FUL720939 GEH720939 GOD720939 GXZ720939 HHV720939 HRR720939 IBN720939 ILJ720939 IVF720939 JFB720939 JOX720939 JYT720939 KIP720939 KSL720939 LCH720939 LMD720939 LVZ720939 MFV720939 MPR720939 MZN720939 NJJ720939 NTF720939 ODB720939 OMX720939 OWT720939 PGP720939 PQL720939 QAH720939 QKD720939 QTZ720939 RDV720939 RNR720939 RXN720939 SHJ720939 SRF720939 TBB720939 TKX720939 TUT720939 UEP720939 UOL720939 UYH720939 VID720939 VRZ720939 WBV720939 WLR720939 WVN720939 F786475 JB786475 SX786475 ACT786475 AMP786475 AWL786475 BGH786475 BQD786475 BZZ786475 CJV786475 CTR786475 DDN786475 DNJ786475 DXF786475 EHB786475 EQX786475 FAT786475 FKP786475 FUL786475 GEH786475 GOD786475 GXZ786475 HHV786475 HRR786475 IBN786475 ILJ786475 IVF786475 JFB786475 JOX786475 JYT786475 KIP786475 KSL786475 LCH786475 LMD786475 LVZ786475 MFV786475 MPR786475 MZN786475 NJJ786475 NTF786475 ODB786475 OMX786475 OWT786475 PGP786475 PQL786475 QAH786475 QKD786475 QTZ786475 RDV786475 RNR786475 RXN786475 SHJ786475 SRF786475 TBB786475 TKX786475 TUT786475 UEP786475 UOL786475 UYH786475 VID786475 VRZ786475 WBV786475 WLR786475 WVN786475 F852011 JB852011 SX852011 ACT852011 AMP852011 AWL852011 BGH852011 BQD852011 BZZ852011 CJV852011 CTR852011 DDN852011 DNJ852011 DXF852011 EHB852011 EQX852011 FAT852011 FKP852011 FUL852011 GEH852011 GOD852011 GXZ852011 HHV852011 HRR852011 IBN852011 ILJ852011 IVF852011 JFB852011 JOX852011 JYT852011 KIP852011 KSL852011 LCH852011 LMD852011 LVZ852011 MFV852011 MPR852011 MZN852011 NJJ852011 NTF852011 ODB852011 OMX852011 OWT852011 PGP852011 PQL852011 QAH852011 QKD852011 QTZ852011 RDV852011 RNR852011 RXN852011 SHJ852011 SRF852011 TBB852011 TKX852011 TUT852011 UEP852011 UOL852011 UYH852011 VID852011 VRZ852011 WBV852011 WLR852011 WVN852011 F917547 JB917547 SX917547 ACT917547 AMP917547 AWL917547 BGH917547 BQD917547 BZZ917547 CJV917547 CTR917547 DDN917547 DNJ917547 DXF917547 EHB917547 EQX917547 FAT917547 FKP917547 FUL917547 GEH917547 GOD917547 GXZ917547 HHV917547 HRR917547 IBN917547 ILJ917547 IVF917547 JFB917547 JOX917547 JYT917547 KIP917547 KSL917547 LCH917547 LMD917547 LVZ917547 MFV917547 MPR917547 MZN917547 NJJ917547 NTF917547 ODB917547 OMX917547 OWT917547 PGP917547 PQL917547 QAH917547 QKD917547 QTZ917547 RDV917547 RNR917547 RXN917547 SHJ917547 SRF917547 TBB917547 TKX917547 TUT917547 UEP917547 UOL917547 UYH917547 VID917547 VRZ917547 WBV917547 WLR917547 WVN917547 F983083 JB983083 SX983083 ACT983083 AMP983083 AWL983083 BGH983083 BQD983083 BZZ983083 CJV983083 CTR983083 DDN983083 DNJ983083 DXF983083 EHB983083 EQX983083 FAT983083 FKP983083 FUL983083 GEH983083 GOD983083 GXZ983083 HHV983083 HRR983083 IBN983083 ILJ983083 IVF983083 JFB983083 JOX983083 JYT983083 KIP983083 KSL983083 LCH983083 LMD983083 LVZ983083 MFV983083 MPR983083 MZN983083 NJJ983083 NTF983083 ODB983083 OMX983083 OWT983083 PGP983083 PQL983083 QAH983083 QKD983083 QTZ983083 RDV983083 RNR983083 RXN983083 SHJ983083 SRF983083 TBB983083 TKX983083 TUT983083 UEP983083 UOL983083 UYH983083 VID983083 VRZ983083 WBV983083 WLR983083 WVN983083" xr:uid="{71EC8C64-BB35-46F0-9FB9-1315FCA6EC66}">
      <formula1>IF(B43="x",tratamientos,0)</formula1>
    </dataValidation>
  </dataValidations>
  <pageMargins left="0.75" right="0.75" top="1" bottom="1" header="0" footer="0"/>
  <pageSetup paperSize="9" scale="50"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7C0D16A7-35FE-4047-93B2-AF46C1B83AC9}">
          <x14:formula1>
            <xm:f>destinos</xm:f>
          </x14:formula1>
          <xm:sqref>G5:G7 JC5:JC7 SY5:SY7 ACU5:ACU7 AMQ5:AMQ7 AWM5:AWM7 BGI5:BGI7 BQE5:BQE7 CAA5:CAA7 CJW5:CJW7 CTS5:CTS7 DDO5:DDO7 DNK5:DNK7 DXG5:DXG7 EHC5:EHC7 EQY5:EQY7 FAU5:FAU7 FKQ5:FKQ7 FUM5:FUM7 GEI5:GEI7 GOE5:GOE7 GYA5:GYA7 HHW5:HHW7 HRS5:HRS7 IBO5:IBO7 ILK5:ILK7 IVG5:IVG7 JFC5:JFC7 JOY5:JOY7 JYU5:JYU7 KIQ5:KIQ7 KSM5:KSM7 LCI5:LCI7 LME5:LME7 LWA5:LWA7 MFW5:MFW7 MPS5:MPS7 MZO5:MZO7 NJK5:NJK7 NTG5:NTG7 ODC5:ODC7 OMY5:OMY7 OWU5:OWU7 PGQ5:PGQ7 PQM5:PQM7 QAI5:QAI7 QKE5:QKE7 QUA5:QUA7 RDW5:RDW7 RNS5:RNS7 RXO5:RXO7 SHK5:SHK7 SRG5:SRG7 TBC5:TBC7 TKY5:TKY7 TUU5:TUU7 UEQ5:UEQ7 UOM5:UOM7 UYI5:UYI7 VIE5:VIE7 VSA5:VSA7 WBW5:WBW7 WLS5:WLS7 WVO5:WVO7 G65541:G65543 JC65541:JC65543 SY65541:SY65543 ACU65541:ACU65543 AMQ65541:AMQ65543 AWM65541:AWM65543 BGI65541:BGI65543 BQE65541:BQE65543 CAA65541:CAA65543 CJW65541:CJW65543 CTS65541:CTS65543 DDO65541:DDO65543 DNK65541:DNK65543 DXG65541:DXG65543 EHC65541:EHC65543 EQY65541:EQY65543 FAU65541:FAU65543 FKQ65541:FKQ65543 FUM65541:FUM65543 GEI65541:GEI65543 GOE65541:GOE65543 GYA65541:GYA65543 HHW65541:HHW65543 HRS65541:HRS65543 IBO65541:IBO65543 ILK65541:ILK65543 IVG65541:IVG65543 JFC65541:JFC65543 JOY65541:JOY65543 JYU65541:JYU65543 KIQ65541:KIQ65543 KSM65541:KSM65543 LCI65541:LCI65543 LME65541:LME65543 LWA65541:LWA65543 MFW65541:MFW65543 MPS65541:MPS65543 MZO65541:MZO65543 NJK65541:NJK65543 NTG65541:NTG65543 ODC65541:ODC65543 OMY65541:OMY65543 OWU65541:OWU65543 PGQ65541:PGQ65543 PQM65541:PQM65543 QAI65541:QAI65543 QKE65541:QKE65543 QUA65541:QUA65543 RDW65541:RDW65543 RNS65541:RNS65543 RXO65541:RXO65543 SHK65541:SHK65543 SRG65541:SRG65543 TBC65541:TBC65543 TKY65541:TKY65543 TUU65541:TUU65543 UEQ65541:UEQ65543 UOM65541:UOM65543 UYI65541:UYI65543 VIE65541:VIE65543 VSA65541:VSA65543 WBW65541:WBW65543 WLS65541:WLS65543 WVO65541:WVO65543 G131077:G131079 JC131077:JC131079 SY131077:SY131079 ACU131077:ACU131079 AMQ131077:AMQ131079 AWM131077:AWM131079 BGI131077:BGI131079 BQE131077:BQE131079 CAA131077:CAA131079 CJW131077:CJW131079 CTS131077:CTS131079 DDO131077:DDO131079 DNK131077:DNK131079 DXG131077:DXG131079 EHC131077:EHC131079 EQY131077:EQY131079 FAU131077:FAU131079 FKQ131077:FKQ131079 FUM131077:FUM131079 GEI131077:GEI131079 GOE131077:GOE131079 GYA131077:GYA131079 HHW131077:HHW131079 HRS131077:HRS131079 IBO131077:IBO131079 ILK131077:ILK131079 IVG131077:IVG131079 JFC131077:JFC131079 JOY131077:JOY131079 JYU131077:JYU131079 KIQ131077:KIQ131079 KSM131077:KSM131079 LCI131077:LCI131079 LME131077:LME131079 LWA131077:LWA131079 MFW131077:MFW131079 MPS131077:MPS131079 MZO131077:MZO131079 NJK131077:NJK131079 NTG131077:NTG131079 ODC131077:ODC131079 OMY131077:OMY131079 OWU131077:OWU131079 PGQ131077:PGQ131079 PQM131077:PQM131079 QAI131077:QAI131079 QKE131077:QKE131079 QUA131077:QUA131079 RDW131077:RDW131079 RNS131077:RNS131079 RXO131077:RXO131079 SHK131077:SHK131079 SRG131077:SRG131079 TBC131077:TBC131079 TKY131077:TKY131079 TUU131077:TUU131079 UEQ131077:UEQ131079 UOM131077:UOM131079 UYI131077:UYI131079 VIE131077:VIE131079 VSA131077:VSA131079 WBW131077:WBW131079 WLS131077:WLS131079 WVO131077:WVO131079 G196613:G196615 JC196613:JC196615 SY196613:SY196615 ACU196613:ACU196615 AMQ196613:AMQ196615 AWM196613:AWM196615 BGI196613:BGI196615 BQE196613:BQE196615 CAA196613:CAA196615 CJW196613:CJW196615 CTS196613:CTS196615 DDO196613:DDO196615 DNK196613:DNK196615 DXG196613:DXG196615 EHC196613:EHC196615 EQY196613:EQY196615 FAU196613:FAU196615 FKQ196613:FKQ196615 FUM196613:FUM196615 GEI196613:GEI196615 GOE196613:GOE196615 GYA196613:GYA196615 HHW196613:HHW196615 HRS196613:HRS196615 IBO196613:IBO196615 ILK196613:ILK196615 IVG196613:IVG196615 JFC196613:JFC196615 JOY196613:JOY196615 JYU196613:JYU196615 KIQ196613:KIQ196615 KSM196613:KSM196615 LCI196613:LCI196615 LME196613:LME196615 LWA196613:LWA196615 MFW196613:MFW196615 MPS196613:MPS196615 MZO196613:MZO196615 NJK196613:NJK196615 NTG196613:NTG196615 ODC196613:ODC196615 OMY196613:OMY196615 OWU196613:OWU196615 PGQ196613:PGQ196615 PQM196613:PQM196615 QAI196613:QAI196615 QKE196613:QKE196615 QUA196613:QUA196615 RDW196613:RDW196615 RNS196613:RNS196615 RXO196613:RXO196615 SHK196613:SHK196615 SRG196613:SRG196615 TBC196613:TBC196615 TKY196613:TKY196615 TUU196613:TUU196615 UEQ196613:UEQ196615 UOM196613:UOM196615 UYI196613:UYI196615 VIE196613:VIE196615 VSA196613:VSA196615 WBW196613:WBW196615 WLS196613:WLS196615 WVO196613:WVO196615 G262149:G262151 JC262149:JC262151 SY262149:SY262151 ACU262149:ACU262151 AMQ262149:AMQ262151 AWM262149:AWM262151 BGI262149:BGI262151 BQE262149:BQE262151 CAA262149:CAA262151 CJW262149:CJW262151 CTS262149:CTS262151 DDO262149:DDO262151 DNK262149:DNK262151 DXG262149:DXG262151 EHC262149:EHC262151 EQY262149:EQY262151 FAU262149:FAU262151 FKQ262149:FKQ262151 FUM262149:FUM262151 GEI262149:GEI262151 GOE262149:GOE262151 GYA262149:GYA262151 HHW262149:HHW262151 HRS262149:HRS262151 IBO262149:IBO262151 ILK262149:ILK262151 IVG262149:IVG262151 JFC262149:JFC262151 JOY262149:JOY262151 JYU262149:JYU262151 KIQ262149:KIQ262151 KSM262149:KSM262151 LCI262149:LCI262151 LME262149:LME262151 LWA262149:LWA262151 MFW262149:MFW262151 MPS262149:MPS262151 MZO262149:MZO262151 NJK262149:NJK262151 NTG262149:NTG262151 ODC262149:ODC262151 OMY262149:OMY262151 OWU262149:OWU262151 PGQ262149:PGQ262151 PQM262149:PQM262151 QAI262149:QAI262151 QKE262149:QKE262151 QUA262149:QUA262151 RDW262149:RDW262151 RNS262149:RNS262151 RXO262149:RXO262151 SHK262149:SHK262151 SRG262149:SRG262151 TBC262149:TBC262151 TKY262149:TKY262151 TUU262149:TUU262151 UEQ262149:UEQ262151 UOM262149:UOM262151 UYI262149:UYI262151 VIE262149:VIE262151 VSA262149:VSA262151 WBW262149:WBW262151 WLS262149:WLS262151 WVO262149:WVO262151 G327685:G327687 JC327685:JC327687 SY327685:SY327687 ACU327685:ACU327687 AMQ327685:AMQ327687 AWM327685:AWM327687 BGI327685:BGI327687 BQE327685:BQE327687 CAA327685:CAA327687 CJW327685:CJW327687 CTS327685:CTS327687 DDO327685:DDO327687 DNK327685:DNK327687 DXG327685:DXG327687 EHC327685:EHC327687 EQY327685:EQY327687 FAU327685:FAU327687 FKQ327685:FKQ327687 FUM327685:FUM327687 GEI327685:GEI327687 GOE327685:GOE327687 GYA327685:GYA327687 HHW327685:HHW327687 HRS327685:HRS327687 IBO327685:IBO327687 ILK327685:ILK327687 IVG327685:IVG327687 JFC327685:JFC327687 JOY327685:JOY327687 JYU327685:JYU327687 KIQ327685:KIQ327687 KSM327685:KSM327687 LCI327685:LCI327687 LME327685:LME327687 LWA327685:LWA327687 MFW327685:MFW327687 MPS327685:MPS327687 MZO327685:MZO327687 NJK327685:NJK327687 NTG327685:NTG327687 ODC327685:ODC327687 OMY327685:OMY327687 OWU327685:OWU327687 PGQ327685:PGQ327687 PQM327685:PQM327687 QAI327685:QAI327687 QKE327685:QKE327687 QUA327685:QUA327687 RDW327685:RDW327687 RNS327685:RNS327687 RXO327685:RXO327687 SHK327685:SHK327687 SRG327685:SRG327687 TBC327685:TBC327687 TKY327685:TKY327687 TUU327685:TUU327687 UEQ327685:UEQ327687 UOM327685:UOM327687 UYI327685:UYI327687 VIE327685:VIE327687 VSA327685:VSA327687 WBW327685:WBW327687 WLS327685:WLS327687 WVO327685:WVO327687 G393221:G393223 JC393221:JC393223 SY393221:SY393223 ACU393221:ACU393223 AMQ393221:AMQ393223 AWM393221:AWM393223 BGI393221:BGI393223 BQE393221:BQE393223 CAA393221:CAA393223 CJW393221:CJW393223 CTS393221:CTS393223 DDO393221:DDO393223 DNK393221:DNK393223 DXG393221:DXG393223 EHC393221:EHC393223 EQY393221:EQY393223 FAU393221:FAU393223 FKQ393221:FKQ393223 FUM393221:FUM393223 GEI393221:GEI393223 GOE393221:GOE393223 GYA393221:GYA393223 HHW393221:HHW393223 HRS393221:HRS393223 IBO393221:IBO393223 ILK393221:ILK393223 IVG393221:IVG393223 JFC393221:JFC393223 JOY393221:JOY393223 JYU393221:JYU393223 KIQ393221:KIQ393223 KSM393221:KSM393223 LCI393221:LCI393223 LME393221:LME393223 LWA393221:LWA393223 MFW393221:MFW393223 MPS393221:MPS393223 MZO393221:MZO393223 NJK393221:NJK393223 NTG393221:NTG393223 ODC393221:ODC393223 OMY393221:OMY393223 OWU393221:OWU393223 PGQ393221:PGQ393223 PQM393221:PQM393223 QAI393221:QAI393223 QKE393221:QKE393223 QUA393221:QUA393223 RDW393221:RDW393223 RNS393221:RNS393223 RXO393221:RXO393223 SHK393221:SHK393223 SRG393221:SRG393223 TBC393221:TBC393223 TKY393221:TKY393223 TUU393221:TUU393223 UEQ393221:UEQ393223 UOM393221:UOM393223 UYI393221:UYI393223 VIE393221:VIE393223 VSA393221:VSA393223 WBW393221:WBW393223 WLS393221:WLS393223 WVO393221:WVO393223 G458757:G458759 JC458757:JC458759 SY458757:SY458759 ACU458757:ACU458759 AMQ458757:AMQ458759 AWM458757:AWM458759 BGI458757:BGI458759 BQE458757:BQE458759 CAA458757:CAA458759 CJW458757:CJW458759 CTS458757:CTS458759 DDO458757:DDO458759 DNK458757:DNK458759 DXG458757:DXG458759 EHC458757:EHC458759 EQY458757:EQY458759 FAU458757:FAU458759 FKQ458757:FKQ458759 FUM458757:FUM458759 GEI458757:GEI458759 GOE458757:GOE458759 GYA458757:GYA458759 HHW458757:HHW458759 HRS458757:HRS458759 IBO458757:IBO458759 ILK458757:ILK458759 IVG458757:IVG458759 JFC458757:JFC458759 JOY458757:JOY458759 JYU458757:JYU458759 KIQ458757:KIQ458759 KSM458757:KSM458759 LCI458757:LCI458759 LME458757:LME458759 LWA458757:LWA458759 MFW458757:MFW458759 MPS458757:MPS458759 MZO458757:MZO458759 NJK458757:NJK458759 NTG458757:NTG458759 ODC458757:ODC458759 OMY458757:OMY458759 OWU458757:OWU458759 PGQ458757:PGQ458759 PQM458757:PQM458759 QAI458757:QAI458759 QKE458757:QKE458759 QUA458757:QUA458759 RDW458757:RDW458759 RNS458757:RNS458759 RXO458757:RXO458759 SHK458757:SHK458759 SRG458757:SRG458759 TBC458757:TBC458759 TKY458757:TKY458759 TUU458757:TUU458759 UEQ458757:UEQ458759 UOM458757:UOM458759 UYI458757:UYI458759 VIE458757:VIE458759 VSA458757:VSA458759 WBW458757:WBW458759 WLS458757:WLS458759 WVO458757:WVO458759 G524293:G524295 JC524293:JC524295 SY524293:SY524295 ACU524293:ACU524295 AMQ524293:AMQ524295 AWM524293:AWM524295 BGI524293:BGI524295 BQE524293:BQE524295 CAA524293:CAA524295 CJW524293:CJW524295 CTS524293:CTS524295 DDO524293:DDO524295 DNK524293:DNK524295 DXG524293:DXG524295 EHC524293:EHC524295 EQY524293:EQY524295 FAU524293:FAU524295 FKQ524293:FKQ524295 FUM524293:FUM524295 GEI524293:GEI524295 GOE524293:GOE524295 GYA524293:GYA524295 HHW524293:HHW524295 HRS524293:HRS524295 IBO524293:IBO524295 ILK524293:ILK524295 IVG524293:IVG524295 JFC524293:JFC524295 JOY524293:JOY524295 JYU524293:JYU524295 KIQ524293:KIQ524295 KSM524293:KSM524295 LCI524293:LCI524295 LME524293:LME524295 LWA524293:LWA524295 MFW524293:MFW524295 MPS524293:MPS524295 MZO524293:MZO524295 NJK524293:NJK524295 NTG524293:NTG524295 ODC524293:ODC524295 OMY524293:OMY524295 OWU524293:OWU524295 PGQ524293:PGQ524295 PQM524293:PQM524295 QAI524293:QAI524295 QKE524293:QKE524295 QUA524293:QUA524295 RDW524293:RDW524295 RNS524293:RNS524295 RXO524293:RXO524295 SHK524293:SHK524295 SRG524293:SRG524295 TBC524293:TBC524295 TKY524293:TKY524295 TUU524293:TUU524295 UEQ524293:UEQ524295 UOM524293:UOM524295 UYI524293:UYI524295 VIE524293:VIE524295 VSA524293:VSA524295 WBW524293:WBW524295 WLS524293:WLS524295 WVO524293:WVO524295 G589829:G589831 JC589829:JC589831 SY589829:SY589831 ACU589829:ACU589831 AMQ589829:AMQ589831 AWM589829:AWM589831 BGI589829:BGI589831 BQE589829:BQE589831 CAA589829:CAA589831 CJW589829:CJW589831 CTS589829:CTS589831 DDO589829:DDO589831 DNK589829:DNK589831 DXG589829:DXG589831 EHC589829:EHC589831 EQY589829:EQY589831 FAU589829:FAU589831 FKQ589829:FKQ589831 FUM589829:FUM589831 GEI589829:GEI589831 GOE589829:GOE589831 GYA589829:GYA589831 HHW589829:HHW589831 HRS589829:HRS589831 IBO589829:IBO589831 ILK589829:ILK589831 IVG589829:IVG589831 JFC589829:JFC589831 JOY589829:JOY589831 JYU589829:JYU589831 KIQ589829:KIQ589831 KSM589829:KSM589831 LCI589829:LCI589831 LME589829:LME589831 LWA589829:LWA589831 MFW589829:MFW589831 MPS589829:MPS589831 MZO589829:MZO589831 NJK589829:NJK589831 NTG589829:NTG589831 ODC589829:ODC589831 OMY589829:OMY589831 OWU589829:OWU589831 PGQ589829:PGQ589831 PQM589829:PQM589831 QAI589829:QAI589831 QKE589829:QKE589831 QUA589829:QUA589831 RDW589829:RDW589831 RNS589829:RNS589831 RXO589829:RXO589831 SHK589829:SHK589831 SRG589829:SRG589831 TBC589829:TBC589831 TKY589829:TKY589831 TUU589829:TUU589831 UEQ589829:UEQ589831 UOM589829:UOM589831 UYI589829:UYI589831 VIE589829:VIE589831 VSA589829:VSA589831 WBW589829:WBW589831 WLS589829:WLS589831 WVO589829:WVO589831 G655365:G655367 JC655365:JC655367 SY655365:SY655367 ACU655365:ACU655367 AMQ655365:AMQ655367 AWM655365:AWM655367 BGI655365:BGI655367 BQE655365:BQE655367 CAA655365:CAA655367 CJW655365:CJW655367 CTS655365:CTS655367 DDO655365:DDO655367 DNK655365:DNK655367 DXG655365:DXG655367 EHC655365:EHC655367 EQY655365:EQY655367 FAU655365:FAU655367 FKQ655365:FKQ655367 FUM655365:FUM655367 GEI655365:GEI655367 GOE655365:GOE655367 GYA655365:GYA655367 HHW655365:HHW655367 HRS655365:HRS655367 IBO655365:IBO655367 ILK655365:ILK655367 IVG655365:IVG655367 JFC655365:JFC655367 JOY655365:JOY655367 JYU655365:JYU655367 KIQ655365:KIQ655367 KSM655365:KSM655367 LCI655365:LCI655367 LME655365:LME655367 LWA655365:LWA655367 MFW655365:MFW655367 MPS655365:MPS655367 MZO655365:MZO655367 NJK655365:NJK655367 NTG655365:NTG655367 ODC655365:ODC655367 OMY655365:OMY655367 OWU655365:OWU655367 PGQ655365:PGQ655367 PQM655365:PQM655367 QAI655365:QAI655367 QKE655365:QKE655367 QUA655365:QUA655367 RDW655365:RDW655367 RNS655365:RNS655367 RXO655365:RXO655367 SHK655365:SHK655367 SRG655365:SRG655367 TBC655365:TBC655367 TKY655365:TKY655367 TUU655365:TUU655367 UEQ655365:UEQ655367 UOM655365:UOM655367 UYI655365:UYI655367 VIE655365:VIE655367 VSA655365:VSA655367 WBW655365:WBW655367 WLS655365:WLS655367 WVO655365:WVO655367 G720901:G720903 JC720901:JC720903 SY720901:SY720903 ACU720901:ACU720903 AMQ720901:AMQ720903 AWM720901:AWM720903 BGI720901:BGI720903 BQE720901:BQE720903 CAA720901:CAA720903 CJW720901:CJW720903 CTS720901:CTS720903 DDO720901:DDO720903 DNK720901:DNK720903 DXG720901:DXG720903 EHC720901:EHC720903 EQY720901:EQY720903 FAU720901:FAU720903 FKQ720901:FKQ720903 FUM720901:FUM720903 GEI720901:GEI720903 GOE720901:GOE720903 GYA720901:GYA720903 HHW720901:HHW720903 HRS720901:HRS720903 IBO720901:IBO720903 ILK720901:ILK720903 IVG720901:IVG720903 JFC720901:JFC720903 JOY720901:JOY720903 JYU720901:JYU720903 KIQ720901:KIQ720903 KSM720901:KSM720903 LCI720901:LCI720903 LME720901:LME720903 LWA720901:LWA720903 MFW720901:MFW720903 MPS720901:MPS720903 MZO720901:MZO720903 NJK720901:NJK720903 NTG720901:NTG720903 ODC720901:ODC720903 OMY720901:OMY720903 OWU720901:OWU720903 PGQ720901:PGQ720903 PQM720901:PQM720903 QAI720901:QAI720903 QKE720901:QKE720903 QUA720901:QUA720903 RDW720901:RDW720903 RNS720901:RNS720903 RXO720901:RXO720903 SHK720901:SHK720903 SRG720901:SRG720903 TBC720901:TBC720903 TKY720901:TKY720903 TUU720901:TUU720903 UEQ720901:UEQ720903 UOM720901:UOM720903 UYI720901:UYI720903 VIE720901:VIE720903 VSA720901:VSA720903 WBW720901:WBW720903 WLS720901:WLS720903 WVO720901:WVO720903 G786437:G786439 JC786437:JC786439 SY786437:SY786439 ACU786437:ACU786439 AMQ786437:AMQ786439 AWM786437:AWM786439 BGI786437:BGI786439 BQE786437:BQE786439 CAA786437:CAA786439 CJW786437:CJW786439 CTS786437:CTS786439 DDO786437:DDO786439 DNK786437:DNK786439 DXG786437:DXG786439 EHC786437:EHC786439 EQY786437:EQY786439 FAU786437:FAU786439 FKQ786437:FKQ786439 FUM786437:FUM786439 GEI786437:GEI786439 GOE786437:GOE786439 GYA786437:GYA786439 HHW786437:HHW786439 HRS786437:HRS786439 IBO786437:IBO786439 ILK786437:ILK786439 IVG786437:IVG786439 JFC786437:JFC786439 JOY786437:JOY786439 JYU786437:JYU786439 KIQ786437:KIQ786439 KSM786437:KSM786439 LCI786437:LCI786439 LME786437:LME786439 LWA786437:LWA786439 MFW786437:MFW786439 MPS786437:MPS786439 MZO786437:MZO786439 NJK786437:NJK786439 NTG786437:NTG786439 ODC786437:ODC786439 OMY786437:OMY786439 OWU786437:OWU786439 PGQ786437:PGQ786439 PQM786437:PQM786439 QAI786437:QAI786439 QKE786437:QKE786439 QUA786437:QUA786439 RDW786437:RDW786439 RNS786437:RNS786439 RXO786437:RXO786439 SHK786437:SHK786439 SRG786437:SRG786439 TBC786437:TBC786439 TKY786437:TKY786439 TUU786437:TUU786439 UEQ786437:UEQ786439 UOM786437:UOM786439 UYI786437:UYI786439 VIE786437:VIE786439 VSA786437:VSA786439 WBW786437:WBW786439 WLS786437:WLS786439 WVO786437:WVO786439 G851973:G851975 JC851973:JC851975 SY851973:SY851975 ACU851973:ACU851975 AMQ851973:AMQ851975 AWM851973:AWM851975 BGI851973:BGI851975 BQE851973:BQE851975 CAA851973:CAA851975 CJW851973:CJW851975 CTS851973:CTS851975 DDO851973:DDO851975 DNK851973:DNK851975 DXG851973:DXG851975 EHC851973:EHC851975 EQY851973:EQY851975 FAU851973:FAU851975 FKQ851973:FKQ851975 FUM851973:FUM851975 GEI851973:GEI851975 GOE851973:GOE851975 GYA851973:GYA851975 HHW851973:HHW851975 HRS851973:HRS851975 IBO851973:IBO851975 ILK851973:ILK851975 IVG851973:IVG851975 JFC851973:JFC851975 JOY851973:JOY851975 JYU851973:JYU851975 KIQ851973:KIQ851975 KSM851973:KSM851975 LCI851973:LCI851975 LME851973:LME851975 LWA851973:LWA851975 MFW851973:MFW851975 MPS851973:MPS851975 MZO851973:MZO851975 NJK851973:NJK851975 NTG851973:NTG851975 ODC851973:ODC851975 OMY851973:OMY851975 OWU851973:OWU851975 PGQ851973:PGQ851975 PQM851973:PQM851975 QAI851973:QAI851975 QKE851973:QKE851975 QUA851973:QUA851975 RDW851973:RDW851975 RNS851973:RNS851975 RXO851973:RXO851975 SHK851973:SHK851975 SRG851973:SRG851975 TBC851973:TBC851975 TKY851973:TKY851975 TUU851973:TUU851975 UEQ851973:UEQ851975 UOM851973:UOM851975 UYI851973:UYI851975 VIE851973:VIE851975 VSA851973:VSA851975 WBW851973:WBW851975 WLS851973:WLS851975 WVO851973:WVO851975 G917509:G917511 JC917509:JC917511 SY917509:SY917511 ACU917509:ACU917511 AMQ917509:AMQ917511 AWM917509:AWM917511 BGI917509:BGI917511 BQE917509:BQE917511 CAA917509:CAA917511 CJW917509:CJW917511 CTS917509:CTS917511 DDO917509:DDO917511 DNK917509:DNK917511 DXG917509:DXG917511 EHC917509:EHC917511 EQY917509:EQY917511 FAU917509:FAU917511 FKQ917509:FKQ917511 FUM917509:FUM917511 GEI917509:GEI917511 GOE917509:GOE917511 GYA917509:GYA917511 HHW917509:HHW917511 HRS917509:HRS917511 IBO917509:IBO917511 ILK917509:ILK917511 IVG917509:IVG917511 JFC917509:JFC917511 JOY917509:JOY917511 JYU917509:JYU917511 KIQ917509:KIQ917511 KSM917509:KSM917511 LCI917509:LCI917511 LME917509:LME917511 LWA917509:LWA917511 MFW917509:MFW917511 MPS917509:MPS917511 MZO917509:MZO917511 NJK917509:NJK917511 NTG917509:NTG917511 ODC917509:ODC917511 OMY917509:OMY917511 OWU917509:OWU917511 PGQ917509:PGQ917511 PQM917509:PQM917511 QAI917509:QAI917511 QKE917509:QKE917511 QUA917509:QUA917511 RDW917509:RDW917511 RNS917509:RNS917511 RXO917509:RXO917511 SHK917509:SHK917511 SRG917509:SRG917511 TBC917509:TBC917511 TKY917509:TKY917511 TUU917509:TUU917511 UEQ917509:UEQ917511 UOM917509:UOM917511 UYI917509:UYI917511 VIE917509:VIE917511 VSA917509:VSA917511 WBW917509:WBW917511 WLS917509:WLS917511 WVO917509:WVO917511 G983045:G983047 JC983045:JC983047 SY983045:SY983047 ACU983045:ACU983047 AMQ983045:AMQ983047 AWM983045:AWM983047 BGI983045:BGI983047 BQE983045:BQE983047 CAA983045:CAA983047 CJW983045:CJW983047 CTS983045:CTS983047 DDO983045:DDO983047 DNK983045:DNK983047 DXG983045:DXG983047 EHC983045:EHC983047 EQY983045:EQY983047 FAU983045:FAU983047 FKQ983045:FKQ983047 FUM983045:FUM983047 GEI983045:GEI983047 GOE983045:GOE983047 GYA983045:GYA983047 HHW983045:HHW983047 HRS983045:HRS983047 IBO983045:IBO983047 ILK983045:ILK983047 IVG983045:IVG983047 JFC983045:JFC983047 JOY983045:JOY983047 JYU983045:JYU983047 KIQ983045:KIQ983047 KSM983045:KSM983047 LCI983045:LCI983047 LME983045:LME983047 LWA983045:LWA983047 MFW983045:MFW983047 MPS983045:MPS983047 MZO983045:MZO983047 NJK983045:NJK983047 NTG983045:NTG983047 ODC983045:ODC983047 OMY983045:OMY983047 OWU983045:OWU983047 PGQ983045:PGQ983047 PQM983045:PQM983047 QAI983045:QAI983047 QKE983045:QKE983047 QUA983045:QUA983047 RDW983045:RDW983047 RNS983045:RNS983047 RXO983045:RXO983047 SHK983045:SHK983047 SRG983045:SRG983047 TBC983045:TBC983047 TKY983045:TKY983047 TUU983045:TUU983047 UEQ983045:UEQ983047 UOM983045:UOM983047 UYI983045:UYI983047 VIE983045:VIE983047 VSA983045:VSA983047 WBW983045:WBW983047 WLS983045:WLS983047 WVO983045:WVO983047 G14 JC14 SY14 ACU14 AMQ14 AWM14 BGI14 BQE14 CAA14 CJW14 CTS14 DDO14 DNK14 DXG14 EHC14 EQY14 FAU14 FKQ14 FUM14 GEI14 GOE14 GYA14 HHW14 HRS14 IBO14 ILK14 IVG14 JFC14 JOY14 JYU14 KIQ14 KSM14 LCI14 LME14 LWA14 MFW14 MPS14 MZO14 NJK14 NTG14 ODC14 OMY14 OWU14 PGQ14 PQM14 QAI14 QKE14 QUA14 RDW14 RNS14 RXO14 SHK14 SRG14 TBC14 TKY14 TUU14 UEQ14 UOM14 UYI14 VIE14 VSA14 WBW14 WLS14 WVO14 G65550 JC65550 SY65550 ACU65550 AMQ65550 AWM65550 BGI65550 BQE65550 CAA65550 CJW65550 CTS65550 DDO65550 DNK65550 DXG65550 EHC65550 EQY65550 FAU65550 FKQ65550 FUM65550 GEI65550 GOE65550 GYA65550 HHW65550 HRS65550 IBO65550 ILK65550 IVG65550 JFC65550 JOY65550 JYU65550 KIQ65550 KSM65550 LCI65550 LME65550 LWA65550 MFW65550 MPS65550 MZO65550 NJK65550 NTG65550 ODC65550 OMY65550 OWU65550 PGQ65550 PQM65550 QAI65550 QKE65550 QUA65550 RDW65550 RNS65550 RXO65550 SHK65550 SRG65550 TBC65550 TKY65550 TUU65550 UEQ65550 UOM65550 UYI65550 VIE65550 VSA65550 WBW65550 WLS65550 WVO65550 G131086 JC131086 SY131086 ACU131086 AMQ131086 AWM131086 BGI131086 BQE131086 CAA131086 CJW131086 CTS131086 DDO131086 DNK131086 DXG131086 EHC131086 EQY131086 FAU131086 FKQ131086 FUM131086 GEI131086 GOE131086 GYA131086 HHW131086 HRS131086 IBO131086 ILK131086 IVG131086 JFC131086 JOY131086 JYU131086 KIQ131086 KSM131086 LCI131086 LME131086 LWA131086 MFW131086 MPS131086 MZO131086 NJK131086 NTG131086 ODC131086 OMY131086 OWU131086 PGQ131086 PQM131086 QAI131086 QKE131086 QUA131086 RDW131086 RNS131086 RXO131086 SHK131086 SRG131086 TBC131086 TKY131086 TUU131086 UEQ131086 UOM131086 UYI131086 VIE131086 VSA131086 WBW131086 WLS131086 WVO131086 G196622 JC196622 SY196622 ACU196622 AMQ196622 AWM196622 BGI196622 BQE196622 CAA196622 CJW196622 CTS196622 DDO196622 DNK196622 DXG196622 EHC196622 EQY196622 FAU196622 FKQ196622 FUM196622 GEI196622 GOE196622 GYA196622 HHW196622 HRS196622 IBO196622 ILK196622 IVG196622 JFC196622 JOY196622 JYU196622 KIQ196622 KSM196622 LCI196622 LME196622 LWA196622 MFW196622 MPS196622 MZO196622 NJK196622 NTG196622 ODC196622 OMY196622 OWU196622 PGQ196622 PQM196622 QAI196622 QKE196622 QUA196622 RDW196622 RNS196622 RXO196622 SHK196622 SRG196622 TBC196622 TKY196622 TUU196622 UEQ196622 UOM196622 UYI196622 VIE196622 VSA196622 WBW196622 WLS196622 WVO196622 G262158 JC262158 SY262158 ACU262158 AMQ262158 AWM262158 BGI262158 BQE262158 CAA262158 CJW262158 CTS262158 DDO262158 DNK262158 DXG262158 EHC262158 EQY262158 FAU262158 FKQ262158 FUM262158 GEI262158 GOE262158 GYA262158 HHW262158 HRS262158 IBO262158 ILK262158 IVG262158 JFC262158 JOY262158 JYU262158 KIQ262158 KSM262158 LCI262158 LME262158 LWA262158 MFW262158 MPS262158 MZO262158 NJK262158 NTG262158 ODC262158 OMY262158 OWU262158 PGQ262158 PQM262158 QAI262158 QKE262158 QUA262158 RDW262158 RNS262158 RXO262158 SHK262158 SRG262158 TBC262158 TKY262158 TUU262158 UEQ262158 UOM262158 UYI262158 VIE262158 VSA262158 WBW262158 WLS262158 WVO262158 G327694 JC327694 SY327694 ACU327694 AMQ327694 AWM327694 BGI327694 BQE327694 CAA327694 CJW327694 CTS327694 DDO327694 DNK327694 DXG327694 EHC327694 EQY327694 FAU327694 FKQ327694 FUM327694 GEI327694 GOE327694 GYA327694 HHW327694 HRS327694 IBO327694 ILK327694 IVG327694 JFC327694 JOY327694 JYU327694 KIQ327694 KSM327694 LCI327694 LME327694 LWA327694 MFW327694 MPS327694 MZO327694 NJK327694 NTG327694 ODC327694 OMY327694 OWU327694 PGQ327694 PQM327694 QAI327694 QKE327694 QUA327694 RDW327694 RNS327694 RXO327694 SHK327694 SRG327694 TBC327694 TKY327694 TUU327694 UEQ327694 UOM327694 UYI327694 VIE327694 VSA327694 WBW327694 WLS327694 WVO327694 G393230 JC393230 SY393230 ACU393230 AMQ393230 AWM393230 BGI393230 BQE393230 CAA393230 CJW393230 CTS393230 DDO393230 DNK393230 DXG393230 EHC393230 EQY393230 FAU393230 FKQ393230 FUM393230 GEI393230 GOE393230 GYA393230 HHW393230 HRS393230 IBO393230 ILK393230 IVG393230 JFC393230 JOY393230 JYU393230 KIQ393230 KSM393230 LCI393230 LME393230 LWA393230 MFW393230 MPS393230 MZO393230 NJK393230 NTG393230 ODC393230 OMY393230 OWU393230 PGQ393230 PQM393230 QAI393230 QKE393230 QUA393230 RDW393230 RNS393230 RXO393230 SHK393230 SRG393230 TBC393230 TKY393230 TUU393230 UEQ393230 UOM393230 UYI393230 VIE393230 VSA393230 WBW393230 WLS393230 WVO393230 G458766 JC458766 SY458766 ACU458766 AMQ458766 AWM458766 BGI458766 BQE458766 CAA458766 CJW458766 CTS458766 DDO458766 DNK458766 DXG458766 EHC458766 EQY458766 FAU458766 FKQ458766 FUM458766 GEI458766 GOE458766 GYA458766 HHW458766 HRS458766 IBO458766 ILK458766 IVG458766 JFC458766 JOY458766 JYU458766 KIQ458766 KSM458766 LCI458766 LME458766 LWA458766 MFW458766 MPS458766 MZO458766 NJK458766 NTG458766 ODC458766 OMY458766 OWU458766 PGQ458766 PQM458766 QAI458766 QKE458766 QUA458766 RDW458766 RNS458766 RXO458766 SHK458766 SRG458766 TBC458766 TKY458766 TUU458766 UEQ458766 UOM458766 UYI458766 VIE458766 VSA458766 WBW458766 WLS458766 WVO458766 G524302 JC524302 SY524302 ACU524302 AMQ524302 AWM524302 BGI524302 BQE524302 CAA524302 CJW524302 CTS524302 DDO524302 DNK524302 DXG524302 EHC524302 EQY524302 FAU524302 FKQ524302 FUM524302 GEI524302 GOE524302 GYA524302 HHW524302 HRS524302 IBO524302 ILK524302 IVG524302 JFC524302 JOY524302 JYU524302 KIQ524302 KSM524302 LCI524302 LME524302 LWA524302 MFW524302 MPS524302 MZO524302 NJK524302 NTG524302 ODC524302 OMY524302 OWU524302 PGQ524302 PQM524302 QAI524302 QKE524302 QUA524302 RDW524302 RNS524302 RXO524302 SHK524302 SRG524302 TBC524302 TKY524302 TUU524302 UEQ524302 UOM524302 UYI524302 VIE524302 VSA524302 WBW524302 WLS524302 WVO524302 G589838 JC589838 SY589838 ACU589838 AMQ589838 AWM589838 BGI589838 BQE589838 CAA589838 CJW589838 CTS589838 DDO589838 DNK589838 DXG589838 EHC589838 EQY589838 FAU589838 FKQ589838 FUM589838 GEI589838 GOE589838 GYA589838 HHW589838 HRS589838 IBO589838 ILK589838 IVG589838 JFC589838 JOY589838 JYU589838 KIQ589838 KSM589838 LCI589838 LME589838 LWA589838 MFW589838 MPS589838 MZO589838 NJK589838 NTG589838 ODC589838 OMY589838 OWU589838 PGQ589838 PQM589838 QAI589838 QKE589838 QUA589838 RDW589838 RNS589838 RXO589838 SHK589838 SRG589838 TBC589838 TKY589838 TUU589838 UEQ589838 UOM589838 UYI589838 VIE589838 VSA589838 WBW589838 WLS589838 WVO589838 G655374 JC655374 SY655374 ACU655374 AMQ655374 AWM655374 BGI655374 BQE655374 CAA655374 CJW655374 CTS655374 DDO655374 DNK655374 DXG655374 EHC655374 EQY655374 FAU655374 FKQ655374 FUM655374 GEI655374 GOE655374 GYA655374 HHW655374 HRS655374 IBO655374 ILK655374 IVG655374 JFC655374 JOY655374 JYU655374 KIQ655374 KSM655374 LCI655374 LME655374 LWA655374 MFW655374 MPS655374 MZO655374 NJK655374 NTG655374 ODC655374 OMY655374 OWU655374 PGQ655374 PQM655374 QAI655374 QKE655374 QUA655374 RDW655374 RNS655374 RXO655374 SHK655374 SRG655374 TBC655374 TKY655374 TUU655374 UEQ655374 UOM655374 UYI655374 VIE655374 VSA655374 WBW655374 WLS655374 WVO655374 G720910 JC720910 SY720910 ACU720910 AMQ720910 AWM720910 BGI720910 BQE720910 CAA720910 CJW720910 CTS720910 DDO720910 DNK720910 DXG720910 EHC720910 EQY720910 FAU720910 FKQ720910 FUM720910 GEI720910 GOE720910 GYA720910 HHW720910 HRS720910 IBO720910 ILK720910 IVG720910 JFC720910 JOY720910 JYU720910 KIQ720910 KSM720910 LCI720910 LME720910 LWA720910 MFW720910 MPS720910 MZO720910 NJK720910 NTG720910 ODC720910 OMY720910 OWU720910 PGQ720910 PQM720910 QAI720910 QKE720910 QUA720910 RDW720910 RNS720910 RXO720910 SHK720910 SRG720910 TBC720910 TKY720910 TUU720910 UEQ720910 UOM720910 UYI720910 VIE720910 VSA720910 WBW720910 WLS720910 WVO720910 G786446 JC786446 SY786446 ACU786446 AMQ786446 AWM786446 BGI786446 BQE786446 CAA786446 CJW786446 CTS786446 DDO786446 DNK786446 DXG786446 EHC786446 EQY786446 FAU786446 FKQ786446 FUM786446 GEI786446 GOE786446 GYA786446 HHW786446 HRS786446 IBO786446 ILK786446 IVG786446 JFC786446 JOY786446 JYU786446 KIQ786446 KSM786446 LCI786446 LME786446 LWA786446 MFW786446 MPS786446 MZO786446 NJK786446 NTG786446 ODC786446 OMY786446 OWU786446 PGQ786446 PQM786446 QAI786446 QKE786446 QUA786446 RDW786446 RNS786446 RXO786446 SHK786446 SRG786446 TBC786446 TKY786446 TUU786446 UEQ786446 UOM786446 UYI786446 VIE786446 VSA786446 WBW786446 WLS786446 WVO786446 G851982 JC851982 SY851982 ACU851982 AMQ851982 AWM851982 BGI851982 BQE851982 CAA851982 CJW851982 CTS851982 DDO851982 DNK851982 DXG851982 EHC851982 EQY851982 FAU851982 FKQ851982 FUM851982 GEI851982 GOE851982 GYA851982 HHW851982 HRS851982 IBO851982 ILK851982 IVG851982 JFC851982 JOY851982 JYU851982 KIQ851982 KSM851982 LCI851982 LME851982 LWA851982 MFW851982 MPS851982 MZO851982 NJK851982 NTG851982 ODC851982 OMY851982 OWU851982 PGQ851982 PQM851982 QAI851982 QKE851982 QUA851982 RDW851982 RNS851982 RXO851982 SHK851982 SRG851982 TBC851982 TKY851982 TUU851982 UEQ851982 UOM851982 UYI851982 VIE851982 VSA851982 WBW851982 WLS851982 WVO851982 G917518 JC917518 SY917518 ACU917518 AMQ917518 AWM917518 BGI917518 BQE917518 CAA917518 CJW917518 CTS917518 DDO917518 DNK917518 DXG917518 EHC917518 EQY917518 FAU917518 FKQ917518 FUM917518 GEI917518 GOE917518 GYA917518 HHW917518 HRS917518 IBO917518 ILK917518 IVG917518 JFC917518 JOY917518 JYU917518 KIQ917518 KSM917518 LCI917518 LME917518 LWA917518 MFW917518 MPS917518 MZO917518 NJK917518 NTG917518 ODC917518 OMY917518 OWU917518 PGQ917518 PQM917518 QAI917518 QKE917518 QUA917518 RDW917518 RNS917518 RXO917518 SHK917518 SRG917518 TBC917518 TKY917518 TUU917518 UEQ917518 UOM917518 UYI917518 VIE917518 VSA917518 WBW917518 WLS917518 WVO917518 G983054 JC983054 SY983054 ACU983054 AMQ983054 AWM983054 BGI983054 BQE983054 CAA983054 CJW983054 CTS983054 DDO983054 DNK983054 DXG983054 EHC983054 EQY983054 FAU983054 FKQ983054 FUM983054 GEI983054 GOE983054 GYA983054 HHW983054 HRS983054 IBO983054 ILK983054 IVG983054 JFC983054 JOY983054 JYU983054 KIQ983054 KSM983054 LCI983054 LME983054 LWA983054 MFW983054 MPS983054 MZO983054 NJK983054 NTG983054 ODC983054 OMY983054 OWU983054 PGQ983054 PQM983054 QAI983054 QKE983054 QUA983054 RDW983054 RNS983054 RXO983054 SHK983054 SRG983054 TBC983054 TKY983054 TUU983054 UEQ983054 UOM983054 UYI983054 VIE983054 VSA983054 WBW983054 WLS983054 WVO983054 G16 JC16 SY16 ACU16 AMQ16 AWM16 BGI16 BQE16 CAA16 CJW16 CTS16 DDO16 DNK16 DXG16 EHC16 EQY16 FAU16 FKQ16 FUM16 GEI16 GOE16 GYA16 HHW16 HRS16 IBO16 ILK16 IVG16 JFC16 JOY16 JYU16 KIQ16 KSM16 LCI16 LME16 LWA16 MFW16 MPS16 MZO16 NJK16 NTG16 ODC16 OMY16 OWU16 PGQ16 PQM16 QAI16 QKE16 QUA16 RDW16 RNS16 RXO16 SHK16 SRG16 TBC16 TKY16 TUU16 UEQ16 UOM16 UYI16 VIE16 VSA16 WBW16 WLS16 WVO16 G65552 JC65552 SY65552 ACU65552 AMQ65552 AWM65552 BGI65552 BQE65552 CAA65552 CJW65552 CTS65552 DDO65552 DNK65552 DXG65552 EHC65552 EQY65552 FAU65552 FKQ65552 FUM65552 GEI65552 GOE65552 GYA65552 HHW65552 HRS65552 IBO65552 ILK65552 IVG65552 JFC65552 JOY65552 JYU65552 KIQ65552 KSM65552 LCI65552 LME65552 LWA65552 MFW65552 MPS65552 MZO65552 NJK65552 NTG65552 ODC65552 OMY65552 OWU65552 PGQ65552 PQM65552 QAI65552 QKE65552 QUA65552 RDW65552 RNS65552 RXO65552 SHK65552 SRG65552 TBC65552 TKY65552 TUU65552 UEQ65552 UOM65552 UYI65552 VIE65552 VSA65552 WBW65552 WLS65552 WVO65552 G131088 JC131088 SY131088 ACU131088 AMQ131088 AWM131088 BGI131088 BQE131088 CAA131088 CJW131088 CTS131088 DDO131088 DNK131088 DXG131088 EHC131088 EQY131088 FAU131088 FKQ131088 FUM131088 GEI131088 GOE131088 GYA131088 HHW131088 HRS131088 IBO131088 ILK131088 IVG131088 JFC131088 JOY131088 JYU131088 KIQ131088 KSM131088 LCI131088 LME131088 LWA131088 MFW131088 MPS131088 MZO131088 NJK131088 NTG131088 ODC131088 OMY131088 OWU131088 PGQ131088 PQM131088 QAI131088 QKE131088 QUA131088 RDW131088 RNS131088 RXO131088 SHK131088 SRG131088 TBC131088 TKY131088 TUU131088 UEQ131088 UOM131088 UYI131088 VIE131088 VSA131088 WBW131088 WLS131088 WVO131088 G196624 JC196624 SY196624 ACU196624 AMQ196624 AWM196624 BGI196624 BQE196624 CAA196624 CJW196624 CTS196624 DDO196624 DNK196624 DXG196624 EHC196624 EQY196624 FAU196624 FKQ196624 FUM196624 GEI196624 GOE196624 GYA196624 HHW196624 HRS196624 IBO196624 ILK196624 IVG196624 JFC196624 JOY196624 JYU196624 KIQ196624 KSM196624 LCI196624 LME196624 LWA196624 MFW196624 MPS196624 MZO196624 NJK196624 NTG196624 ODC196624 OMY196624 OWU196624 PGQ196624 PQM196624 QAI196624 QKE196624 QUA196624 RDW196624 RNS196624 RXO196624 SHK196624 SRG196624 TBC196624 TKY196624 TUU196624 UEQ196624 UOM196624 UYI196624 VIE196624 VSA196624 WBW196624 WLS196624 WVO196624 G262160 JC262160 SY262160 ACU262160 AMQ262160 AWM262160 BGI262160 BQE262160 CAA262160 CJW262160 CTS262160 DDO262160 DNK262160 DXG262160 EHC262160 EQY262160 FAU262160 FKQ262160 FUM262160 GEI262160 GOE262160 GYA262160 HHW262160 HRS262160 IBO262160 ILK262160 IVG262160 JFC262160 JOY262160 JYU262160 KIQ262160 KSM262160 LCI262160 LME262160 LWA262160 MFW262160 MPS262160 MZO262160 NJK262160 NTG262160 ODC262160 OMY262160 OWU262160 PGQ262160 PQM262160 QAI262160 QKE262160 QUA262160 RDW262160 RNS262160 RXO262160 SHK262160 SRG262160 TBC262160 TKY262160 TUU262160 UEQ262160 UOM262160 UYI262160 VIE262160 VSA262160 WBW262160 WLS262160 WVO262160 G327696 JC327696 SY327696 ACU327696 AMQ327696 AWM327696 BGI327696 BQE327696 CAA327696 CJW327696 CTS327696 DDO327696 DNK327696 DXG327696 EHC327696 EQY327696 FAU327696 FKQ327696 FUM327696 GEI327696 GOE327696 GYA327696 HHW327696 HRS327696 IBO327696 ILK327696 IVG327696 JFC327696 JOY327696 JYU327696 KIQ327696 KSM327696 LCI327696 LME327696 LWA327696 MFW327696 MPS327696 MZO327696 NJK327696 NTG327696 ODC327696 OMY327696 OWU327696 PGQ327696 PQM327696 QAI327696 QKE327696 QUA327696 RDW327696 RNS327696 RXO327696 SHK327696 SRG327696 TBC327696 TKY327696 TUU327696 UEQ327696 UOM327696 UYI327696 VIE327696 VSA327696 WBW327696 WLS327696 WVO327696 G393232 JC393232 SY393232 ACU393232 AMQ393232 AWM393232 BGI393232 BQE393232 CAA393232 CJW393232 CTS393232 DDO393232 DNK393232 DXG393232 EHC393232 EQY393232 FAU393232 FKQ393232 FUM393232 GEI393232 GOE393232 GYA393232 HHW393232 HRS393232 IBO393232 ILK393232 IVG393232 JFC393232 JOY393232 JYU393232 KIQ393232 KSM393232 LCI393232 LME393232 LWA393232 MFW393232 MPS393232 MZO393232 NJK393232 NTG393232 ODC393232 OMY393232 OWU393232 PGQ393232 PQM393232 QAI393232 QKE393232 QUA393232 RDW393232 RNS393232 RXO393232 SHK393232 SRG393232 TBC393232 TKY393232 TUU393232 UEQ393232 UOM393232 UYI393232 VIE393232 VSA393232 WBW393232 WLS393232 WVO393232 G458768 JC458768 SY458768 ACU458768 AMQ458768 AWM458768 BGI458768 BQE458768 CAA458768 CJW458768 CTS458768 DDO458768 DNK458768 DXG458768 EHC458768 EQY458768 FAU458768 FKQ458768 FUM458768 GEI458768 GOE458768 GYA458768 HHW458768 HRS458768 IBO458768 ILK458768 IVG458768 JFC458768 JOY458768 JYU458768 KIQ458768 KSM458768 LCI458768 LME458768 LWA458768 MFW458768 MPS458768 MZO458768 NJK458768 NTG458768 ODC458768 OMY458768 OWU458768 PGQ458768 PQM458768 QAI458768 QKE458768 QUA458768 RDW458768 RNS458768 RXO458768 SHK458768 SRG458768 TBC458768 TKY458768 TUU458768 UEQ458768 UOM458768 UYI458768 VIE458768 VSA458768 WBW458768 WLS458768 WVO458768 G524304 JC524304 SY524304 ACU524304 AMQ524304 AWM524304 BGI524304 BQE524304 CAA524304 CJW524304 CTS524304 DDO524304 DNK524304 DXG524304 EHC524304 EQY524304 FAU524304 FKQ524304 FUM524304 GEI524304 GOE524304 GYA524304 HHW524304 HRS524304 IBO524304 ILK524304 IVG524304 JFC524304 JOY524304 JYU524304 KIQ524304 KSM524304 LCI524304 LME524304 LWA524304 MFW524304 MPS524304 MZO524304 NJK524304 NTG524304 ODC524304 OMY524304 OWU524304 PGQ524304 PQM524304 QAI524304 QKE524304 QUA524304 RDW524304 RNS524304 RXO524304 SHK524304 SRG524304 TBC524304 TKY524304 TUU524304 UEQ524304 UOM524304 UYI524304 VIE524304 VSA524304 WBW524304 WLS524304 WVO524304 G589840 JC589840 SY589840 ACU589840 AMQ589840 AWM589840 BGI589840 BQE589840 CAA589840 CJW589840 CTS589840 DDO589840 DNK589840 DXG589840 EHC589840 EQY589840 FAU589840 FKQ589840 FUM589840 GEI589840 GOE589840 GYA589840 HHW589840 HRS589840 IBO589840 ILK589840 IVG589840 JFC589840 JOY589840 JYU589840 KIQ589840 KSM589840 LCI589840 LME589840 LWA589840 MFW589840 MPS589840 MZO589840 NJK589840 NTG589840 ODC589840 OMY589840 OWU589840 PGQ589840 PQM589840 QAI589840 QKE589840 QUA589840 RDW589840 RNS589840 RXO589840 SHK589840 SRG589840 TBC589840 TKY589840 TUU589840 UEQ589840 UOM589840 UYI589840 VIE589840 VSA589840 WBW589840 WLS589840 WVO589840 G655376 JC655376 SY655376 ACU655376 AMQ655376 AWM655376 BGI655376 BQE655376 CAA655376 CJW655376 CTS655376 DDO655376 DNK655376 DXG655376 EHC655376 EQY655376 FAU655376 FKQ655376 FUM655376 GEI655376 GOE655376 GYA655376 HHW655376 HRS655376 IBO655376 ILK655376 IVG655376 JFC655376 JOY655376 JYU655376 KIQ655376 KSM655376 LCI655376 LME655376 LWA655376 MFW655376 MPS655376 MZO655376 NJK655376 NTG655376 ODC655376 OMY655376 OWU655376 PGQ655376 PQM655376 QAI655376 QKE655376 QUA655376 RDW655376 RNS655376 RXO655376 SHK655376 SRG655376 TBC655376 TKY655376 TUU655376 UEQ655376 UOM655376 UYI655376 VIE655376 VSA655376 WBW655376 WLS655376 WVO655376 G720912 JC720912 SY720912 ACU720912 AMQ720912 AWM720912 BGI720912 BQE720912 CAA720912 CJW720912 CTS720912 DDO720912 DNK720912 DXG720912 EHC720912 EQY720912 FAU720912 FKQ720912 FUM720912 GEI720912 GOE720912 GYA720912 HHW720912 HRS720912 IBO720912 ILK720912 IVG720912 JFC720912 JOY720912 JYU720912 KIQ720912 KSM720912 LCI720912 LME720912 LWA720912 MFW720912 MPS720912 MZO720912 NJK720912 NTG720912 ODC720912 OMY720912 OWU720912 PGQ720912 PQM720912 QAI720912 QKE720912 QUA720912 RDW720912 RNS720912 RXO720912 SHK720912 SRG720912 TBC720912 TKY720912 TUU720912 UEQ720912 UOM720912 UYI720912 VIE720912 VSA720912 WBW720912 WLS720912 WVO720912 G786448 JC786448 SY786448 ACU786448 AMQ786448 AWM786448 BGI786448 BQE786448 CAA786448 CJW786448 CTS786448 DDO786448 DNK786448 DXG786448 EHC786448 EQY786448 FAU786448 FKQ786448 FUM786448 GEI786448 GOE786448 GYA786448 HHW786448 HRS786448 IBO786448 ILK786448 IVG786448 JFC786448 JOY786448 JYU786448 KIQ786448 KSM786448 LCI786448 LME786448 LWA786448 MFW786448 MPS786448 MZO786448 NJK786448 NTG786448 ODC786448 OMY786448 OWU786448 PGQ786448 PQM786448 QAI786448 QKE786448 QUA786448 RDW786448 RNS786448 RXO786448 SHK786448 SRG786448 TBC786448 TKY786448 TUU786448 UEQ786448 UOM786448 UYI786448 VIE786448 VSA786448 WBW786448 WLS786448 WVO786448 G851984 JC851984 SY851984 ACU851984 AMQ851984 AWM851984 BGI851984 BQE851984 CAA851984 CJW851984 CTS851984 DDO851984 DNK851984 DXG851984 EHC851984 EQY851984 FAU851984 FKQ851984 FUM851984 GEI851984 GOE851984 GYA851984 HHW851984 HRS851984 IBO851984 ILK851984 IVG851984 JFC851984 JOY851984 JYU851984 KIQ851984 KSM851984 LCI851984 LME851984 LWA851984 MFW851984 MPS851984 MZO851984 NJK851984 NTG851984 ODC851984 OMY851984 OWU851984 PGQ851984 PQM851984 QAI851984 QKE851984 QUA851984 RDW851984 RNS851984 RXO851984 SHK851984 SRG851984 TBC851984 TKY851984 TUU851984 UEQ851984 UOM851984 UYI851984 VIE851984 VSA851984 WBW851984 WLS851984 WVO851984 G917520 JC917520 SY917520 ACU917520 AMQ917520 AWM917520 BGI917520 BQE917520 CAA917520 CJW917520 CTS917520 DDO917520 DNK917520 DXG917520 EHC917520 EQY917520 FAU917520 FKQ917520 FUM917520 GEI917520 GOE917520 GYA917520 HHW917520 HRS917520 IBO917520 ILK917520 IVG917520 JFC917520 JOY917520 JYU917520 KIQ917520 KSM917520 LCI917520 LME917520 LWA917520 MFW917520 MPS917520 MZO917520 NJK917520 NTG917520 ODC917520 OMY917520 OWU917520 PGQ917520 PQM917520 QAI917520 QKE917520 QUA917520 RDW917520 RNS917520 RXO917520 SHK917520 SRG917520 TBC917520 TKY917520 TUU917520 UEQ917520 UOM917520 UYI917520 VIE917520 VSA917520 WBW917520 WLS917520 WVO917520 G983056 JC983056 SY983056 ACU983056 AMQ983056 AWM983056 BGI983056 BQE983056 CAA983056 CJW983056 CTS983056 DDO983056 DNK983056 DXG983056 EHC983056 EQY983056 FAU983056 FKQ983056 FUM983056 GEI983056 GOE983056 GYA983056 HHW983056 HRS983056 IBO983056 ILK983056 IVG983056 JFC983056 JOY983056 JYU983056 KIQ983056 KSM983056 LCI983056 LME983056 LWA983056 MFW983056 MPS983056 MZO983056 NJK983056 NTG983056 ODC983056 OMY983056 OWU983056 PGQ983056 PQM983056 QAI983056 QKE983056 QUA983056 RDW983056 RNS983056 RXO983056 SHK983056 SRG983056 TBC983056 TKY983056 TUU983056 UEQ983056 UOM983056 UYI983056 VIE983056 VSA983056 WBW983056 WLS983056 WVO983056 G46:G48 JC46:JC48 SY46:SY48 ACU46:ACU48 AMQ46:AMQ48 AWM46:AWM48 BGI46:BGI48 BQE46:BQE48 CAA46:CAA48 CJW46:CJW48 CTS46:CTS48 DDO46:DDO48 DNK46:DNK48 DXG46:DXG48 EHC46:EHC48 EQY46:EQY48 FAU46:FAU48 FKQ46:FKQ48 FUM46:FUM48 GEI46:GEI48 GOE46:GOE48 GYA46:GYA48 HHW46:HHW48 HRS46:HRS48 IBO46:IBO48 ILK46:ILK48 IVG46:IVG48 JFC46:JFC48 JOY46:JOY48 JYU46:JYU48 KIQ46:KIQ48 KSM46:KSM48 LCI46:LCI48 LME46:LME48 LWA46:LWA48 MFW46:MFW48 MPS46:MPS48 MZO46:MZO48 NJK46:NJK48 NTG46:NTG48 ODC46:ODC48 OMY46:OMY48 OWU46:OWU48 PGQ46:PGQ48 PQM46:PQM48 QAI46:QAI48 QKE46:QKE48 QUA46:QUA48 RDW46:RDW48 RNS46:RNS48 RXO46:RXO48 SHK46:SHK48 SRG46:SRG48 TBC46:TBC48 TKY46:TKY48 TUU46:TUU48 UEQ46:UEQ48 UOM46:UOM48 UYI46:UYI48 VIE46:VIE48 VSA46:VSA48 WBW46:WBW48 WLS46:WLS48 WVO46:WVO48 G65582:G65584 JC65582:JC65584 SY65582:SY65584 ACU65582:ACU65584 AMQ65582:AMQ65584 AWM65582:AWM65584 BGI65582:BGI65584 BQE65582:BQE65584 CAA65582:CAA65584 CJW65582:CJW65584 CTS65582:CTS65584 DDO65582:DDO65584 DNK65582:DNK65584 DXG65582:DXG65584 EHC65582:EHC65584 EQY65582:EQY65584 FAU65582:FAU65584 FKQ65582:FKQ65584 FUM65582:FUM65584 GEI65582:GEI65584 GOE65582:GOE65584 GYA65582:GYA65584 HHW65582:HHW65584 HRS65582:HRS65584 IBO65582:IBO65584 ILK65582:ILK65584 IVG65582:IVG65584 JFC65582:JFC65584 JOY65582:JOY65584 JYU65582:JYU65584 KIQ65582:KIQ65584 KSM65582:KSM65584 LCI65582:LCI65584 LME65582:LME65584 LWA65582:LWA65584 MFW65582:MFW65584 MPS65582:MPS65584 MZO65582:MZO65584 NJK65582:NJK65584 NTG65582:NTG65584 ODC65582:ODC65584 OMY65582:OMY65584 OWU65582:OWU65584 PGQ65582:PGQ65584 PQM65582:PQM65584 QAI65582:QAI65584 QKE65582:QKE65584 QUA65582:QUA65584 RDW65582:RDW65584 RNS65582:RNS65584 RXO65582:RXO65584 SHK65582:SHK65584 SRG65582:SRG65584 TBC65582:TBC65584 TKY65582:TKY65584 TUU65582:TUU65584 UEQ65582:UEQ65584 UOM65582:UOM65584 UYI65582:UYI65584 VIE65582:VIE65584 VSA65582:VSA65584 WBW65582:WBW65584 WLS65582:WLS65584 WVO65582:WVO65584 G131118:G131120 JC131118:JC131120 SY131118:SY131120 ACU131118:ACU131120 AMQ131118:AMQ131120 AWM131118:AWM131120 BGI131118:BGI131120 BQE131118:BQE131120 CAA131118:CAA131120 CJW131118:CJW131120 CTS131118:CTS131120 DDO131118:DDO131120 DNK131118:DNK131120 DXG131118:DXG131120 EHC131118:EHC131120 EQY131118:EQY131120 FAU131118:FAU131120 FKQ131118:FKQ131120 FUM131118:FUM131120 GEI131118:GEI131120 GOE131118:GOE131120 GYA131118:GYA131120 HHW131118:HHW131120 HRS131118:HRS131120 IBO131118:IBO131120 ILK131118:ILK131120 IVG131118:IVG131120 JFC131118:JFC131120 JOY131118:JOY131120 JYU131118:JYU131120 KIQ131118:KIQ131120 KSM131118:KSM131120 LCI131118:LCI131120 LME131118:LME131120 LWA131118:LWA131120 MFW131118:MFW131120 MPS131118:MPS131120 MZO131118:MZO131120 NJK131118:NJK131120 NTG131118:NTG131120 ODC131118:ODC131120 OMY131118:OMY131120 OWU131118:OWU131120 PGQ131118:PGQ131120 PQM131118:PQM131120 QAI131118:QAI131120 QKE131118:QKE131120 QUA131118:QUA131120 RDW131118:RDW131120 RNS131118:RNS131120 RXO131118:RXO131120 SHK131118:SHK131120 SRG131118:SRG131120 TBC131118:TBC131120 TKY131118:TKY131120 TUU131118:TUU131120 UEQ131118:UEQ131120 UOM131118:UOM131120 UYI131118:UYI131120 VIE131118:VIE131120 VSA131118:VSA131120 WBW131118:WBW131120 WLS131118:WLS131120 WVO131118:WVO131120 G196654:G196656 JC196654:JC196656 SY196654:SY196656 ACU196654:ACU196656 AMQ196654:AMQ196656 AWM196654:AWM196656 BGI196654:BGI196656 BQE196654:BQE196656 CAA196654:CAA196656 CJW196654:CJW196656 CTS196654:CTS196656 DDO196654:DDO196656 DNK196654:DNK196656 DXG196654:DXG196656 EHC196654:EHC196656 EQY196654:EQY196656 FAU196654:FAU196656 FKQ196654:FKQ196656 FUM196654:FUM196656 GEI196654:GEI196656 GOE196654:GOE196656 GYA196654:GYA196656 HHW196654:HHW196656 HRS196654:HRS196656 IBO196654:IBO196656 ILK196654:ILK196656 IVG196654:IVG196656 JFC196654:JFC196656 JOY196654:JOY196656 JYU196654:JYU196656 KIQ196654:KIQ196656 KSM196654:KSM196656 LCI196654:LCI196656 LME196654:LME196656 LWA196654:LWA196656 MFW196654:MFW196656 MPS196654:MPS196656 MZO196654:MZO196656 NJK196654:NJK196656 NTG196654:NTG196656 ODC196654:ODC196656 OMY196654:OMY196656 OWU196654:OWU196656 PGQ196654:PGQ196656 PQM196654:PQM196656 QAI196654:QAI196656 QKE196654:QKE196656 QUA196654:QUA196656 RDW196654:RDW196656 RNS196654:RNS196656 RXO196654:RXO196656 SHK196654:SHK196656 SRG196654:SRG196656 TBC196654:TBC196656 TKY196654:TKY196656 TUU196654:TUU196656 UEQ196654:UEQ196656 UOM196654:UOM196656 UYI196654:UYI196656 VIE196654:VIE196656 VSA196654:VSA196656 WBW196654:WBW196656 WLS196654:WLS196656 WVO196654:WVO196656 G262190:G262192 JC262190:JC262192 SY262190:SY262192 ACU262190:ACU262192 AMQ262190:AMQ262192 AWM262190:AWM262192 BGI262190:BGI262192 BQE262190:BQE262192 CAA262190:CAA262192 CJW262190:CJW262192 CTS262190:CTS262192 DDO262190:DDO262192 DNK262190:DNK262192 DXG262190:DXG262192 EHC262190:EHC262192 EQY262190:EQY262192 FAU262190:FAU262192 FKQ262190:FKQ262192 FUM262190:FUM262192 GEI262190:GEI262192 GOE262190:GOE262192 GYA262190:GYA262192 HHW262190:HHW262192 HRS262190:HRS262192 IBO262190:IBO262192 ILK262190:ILK262192 IVG262190:IVG262192 JFC262190:JFC262192 JOY262190:JOY262192 JYU262190:JYU262192 KIQ262190:KIQ262192 KSM262190:KSM262192 LCI262190:LCI262192 LME262190:LME262192 LWA262190:LWA262192 MFW262190:MFW262192 MPS262190:MPS262192 MZO262190:MZO262192 NJK262190:NJK262192 NTG262190:NTG262192 ODC262190:ODC262192 OMY262190:OMY262192 OWU262190:OWU262192 PGQ262190:PGQ262192 PQM262190:PQM262192 QAI262190:QAI262192 QKE262190:QKE262192 QUA262190:QUA262192 RDW262190:RDW262192 RNS262190:RNS262192 RXO262190:RXO262192 SHK262190:SHK262192 SRG262190:SRG262192 TBC262190:TBC262192 TKY262190:TKY262192 TUU262190:TUU262192 UEQ262190:UEQ262192 UOM262190:UOM262192 UYI262190:UYI262192 VIE262190:VIE262192 VSA262190:VSA262192 WBW262190:WBW262192 WLS262190:WLS262192 WVO262190:WVO262192 G327726:G327728 JC327726:JC327728 SY327726:SY327728 ACU327726:ACU327728 AMQ327726:AMQ327728 AWM327726:AWM327728 BGI327726:BGI327728 BQE327726:BQE327728 CAA327726:CAA327728 CJW327726:CJW327728 CTS327726:CTS327728 DDO327726:DDO327728 DNK327726:DNK327728 DXG327726:DXG327728 EHC327726:EHC327728 EQY327726:EQY327728 FAU327726:FAU327728 FKQ327726:FKQ327728 FUM327726:FUM327728 GEI327726:GEI327728 GOE327726:GOE327728 GYA327726:GYA327728 HHW327726:HHW327728 HRS327726:HRS327728 IBO327726:IBO327728 ILK327726:ILK327728 IVG327726:IVG327728 JFC327726:JFC327728 JOY327726:JOY327728 JYU327726:JYU327728 KIQ327726:KIQ327728 KSM327726:KSM327728 LCI327726:LCI327728 LME327726:LME327728 LWA327726:LWA327728 MFW327726:MFW327728 MPS327726:MPS327728 MZO327726:MZO327728 NJK327726:NJK327728 NTG327726:NTG327728 ODC327726:ODC327728 OMY327726:OMY327728 OWU327726:OWU327728 PGQ327726:PGQ327728 PQM327726:PQM327728 QAI327726:QAI327728 QKE327726:QKE327728 QUA327726:QUA327728 RDW327726:RDW327728 RNS327726:RNS327728 RXO327726:RXO327728 SHK327726:SHK327728 SRG327726:SRG327728 TBC327726:TBC327728 TKY327726:TKY327728 TUU327726:TUU327728 UEQ327726:UEQ327728 UOM327726:UOM327728 UYI327726:UYI327728 VIE327726:VIE327728 VSA327726:VSA327728 WBW327726:WBW327728 WLS327726:WLS327728 WVO327726:WVO327728 G393262:G393264 JC393262:JC393264 SY393262:SY393264 ACU393262:ACU393264 AMQ393262:AMQ393264 AWM393262:AWM393264 BGI393262:BGI393264 BQE393262:BQE393264 CAA393262:CAA393264 CJW393262:CJW393264 CTS393262:CTS393264 DDO393262:DDO393264 DNK393262:DNK393264 DXG393262:DXG393264 EHC393262:EHC393264 EQY393262:EQY393264 FAU393262:FAU393264 FKQ393262:FKQ393264 FUM393262:FUM393264 GEI393262:GEI393264 GOE393262:GOE393264 GYA393262:GYA393264 HHW393262:HHW393264 HRS393262:HRS393264 IBO393262:IBO393264 ILK393262:ILK393264 IVG393262:IVG393264 JFC393262:JFC393264 JOY393262:JOY393264 JYU393262:JYU393264 KIQ393262:KIQ393264 KSM393262:KSM393264 LCI393262:LCI393264 LME393262:LME393264 LWA393262:LWA393264 MFW393262:MFW393264 MPS393262:MPS393264 MZO393262:MZO393264 NJK393262:NJK393264 NTG393262:NTG393264 ODC393262:ODC393264 OMY393262:OMY393264 OWU393262:OWU393264 PGQ393262:PGQ393264 PQM393262:PQM393264 QAI393262:QAI393264 QKE393262:QKE393264 QUA393262:QUA393264 RDW393262:RDW393264 RNS393262:RNS393264 RXO393262:RXO393264 SHK393262:SHK393264 SRG393262:SRG393264 TBC393262:TBC393264 TKY393262:TKY393264 TUU393262:TUU393264 UEQ393262:UEQ393264 UOM393262:UOM393264 UYI393262:UYI393264 VIE393262:VIE393264 VSA393262:VSA393264 WBW393262:WBW393264 WLS393262:WLS393264 WVO393262:WVO393264 G458798:G458800 JC458798:JC458800 SY458798:SY458800 ACU458798:ACU458800 AMQ458798:AMQ458800 AWM458798:AWM458800 BGI458798:BGI458800 BQE458798:BQE458800 CAA458798:CAA458800 CJW458798:CJW458800 CTS458798:CTS458800 DDO458798:DDO458800 DNK458798:DNK458800 DXG458798:DXG458800 EHC458798:EHC458800 EQY458798:EQY458800 FAU458798:FAU458800 FKQ458798:FKQ458800 FUM458798:FUM458800 GEI458798:GEI458800 GOE458798:GOE458800 GYA458798:GYA458800 HHW458798:HHW458800 HRS458798:HRS458800 IBO458798:IBO458800 ILK458798:ILK458800 IVG458798:IVG458800 JFC458798:JFC458800 JOY458798:JOY458800 JYU458798:JYU458800 KIQ458798:KIQ458800 KSM458798:KSM458800 LCI458798:LCI458800 LME458798:LME458800 LWA458798:LWA458800 MFW458798:MFW458800 MPS458798:MPS458800 MZO458798:MZO458800 NJK458798:NJK458800 NTG458798:NTG458800 ODC458798:ODC458800 OMY458798:OMY458800 OWU458798:OWU458800 PGQ458798:PGQ458800 PQM458798:PQM458800 QAI458798:QAI458800 QKE458798:QKE458800 QUA458798:QUA458800 RDW458798:RDW458800 RNS458798:RNS458800 RXO458798:RXO458800 SHK458798:SHK458800 SRG458798:SRG458800 TBC458798:TBC458800 TKY458798:TKY458800 TUU458798:TUU458800 UEQ458798:UEQ458800 UOM458798:UOM458800 UYI458798:UYI458800 VIE458798:VIE458800 VSA458798:VSA458800 WBW458798:WBW458800 WLS458798:WLS458800 WVO458798:WVO458800 G524334:G524336 JC524334:JC524336 SY524334:SY524336 ACU524334:ACU524336 AMQ524334:AMQ524336 AWM524334:AWM524336 BGI524334:BGI524336 BQE524334:BQE524336 CAA524334:CAA524336 CJW524334:CJW524336 CTS524334:CTS524336 DDO524334:DDO524336 DNK524334:DNK524336 DXG524334:DXG524336 EHC524334:EHC524336 EQY524334:EQY524336 FAU524334:FAU524336 FKQ524334:FKQ524336 FUM524334:FUM524336 GEI524334:GEI524336 GOE524334:GOE524336 GYA524334:GYA524336 HHW524334:HHW524336 HRS524334:HRS524336 IBO524334:IBO524336 ILK524334:ILK524336 IVG524334:IVG524336 JFC524334:JFC524336 JOY524334:JOY524336 JYU524334:JYU524336 KIQ524334:KIQ524336 KSM524334:KSM524336 LCI524334:LCI524336 LME524334:LME524336 LWA524334:LWA524336 MFW524334:MFW524336 MPS524334:MPS524336 MZO524334:MZO524336 NJK524334:NJK524336 NTG524334:NTG524336 ODC524334:ODC524336 OMY524334:OMY524336 OWU524334:OWU524336 PGQ524334:PGQ524336 PQM524334:PQM524336 QAI524334:QAI524336 QKE524334:QKE524336 QUA524334:QUA524336 RDW524334:RDW524336 RNS524334:RNS524336 RXO524334:RXO524336 SHK524334:SHK524336 SRG524334:SRG524336 TBC524334:TBC524336 TKY524334:TKY524336 TUU524334:TUU524336 UEQ524334:UEQ524336 UOM524334:UOM524336 UYI524334:UYI524336 VIE524334:VIE524336 VSA524334:VSA524336 WBW524334:WBW524336 WLS524334:WLS524336 WVO524334:WVO524336 G589870:G589872 JC589870:JC589872 SY589870:SY589872 ACU589870:ACU589872 AMQ589870:AMQ589872 AWM589870:AWM589872 BGI589870:BGI589872 BQE589870:BQE589872 CAA589870:CAA589872 CJW589870:CJW589872 CTS589870:CTS589872 DDO589870:DDO589872 DNK589870:DNK589872 DXG589870:DXG589872 EHC589870:EHC589872 EQY589870:EQY589872 FAU589870:FAU589872 FKQ589870:FKQ589872 FUM589870:FUM589872 GEI589870:GEI589872 GOE589870:GOE589872 GYA589870:GYA589872 HHW589870:HHW589872 HRS589870:HRS589872 IBO589870:IBO589872 ILK589870:ILK589872 IVG589870:IVG589872 JFC589870:JFC589872 JOY589870:JOY589872 JYU589870:JYU589872 KIQ589870:KIQ589872 KSM589870:KSM589872 LCI589870:LCI589872 LME589870:LME589872 LWA589870:LWA589872 MFW589870:MFW589872 MPS589870:MPS589872 MZO589870:MZO589872 NJK589870:NJK589872 NTG589870:NTG589872 ODC589870:ODC589872 OMY589870:OMY589872 OWU589870:OWU589872 PGQ589870:PGQ589872 PQM589870:PQM589872 QAI589870:QAI589872 QKE589870:QKE589872 QUA589870:QUA589872 RDW589870:RDW589872 RNS589870:RNS589872 RXO589870:RXO589872 SHK589870:SHK589872 SRG589870:SRG589872 TBC589870:TBC589872 TKY589870:TKY589872 TUU589870:TUU589872 UEQ589870:UEQ589872 UOM589870:UOM589872 UYI589870:UYI589872 VIE589870:VIE589872 VSA589870:VSA589872 WBW589870:WBW589872 WLS589870:WLS589872 WVO589870:WVO589872 G655406:G655408 JC655406:JC655408 SY655406:SY655408 ACU655406:ACU655408 AMQ655406:AMQ655408 AWM655406:AWM655408 BGI655406:BGI655408 BQE655406:BQE655408 CAA655406:CAA655408 CJW655406:CJW655408 CTS655406:CTS655408 DDO655406:DDO655408 DNK655406:DNK655408 DXG655406:DXG655408 EHC655406:EHC655408 EQY655406:EQY655408 FAU655406:FAU655408 FKQ655406:FKQ655408 FUM655406:FUM655408 GEI655406:GEI655408 GOE655406:GOE655408 GYA655406:GYA655408 HHW655406:HHW655408 HRS655406:HRS655408 IBO655406:IBO655408 ILK655406:ILK655408 IVG655406:IVG655408 JFC655406:JFC655408 JOY655406:JOY655408 JYU655406:JYU655408 KIQ655406:KIQ655408 KSM655406:KSM655408 LCI655406:LCI655408 LME655406:LME655408 LWA655406:LWA655408 MFW655406:MFW655408 MPS655406:MPS655408 MZO655406:MZO655408 NJK655406:NJK655408 NTG655406:NTG655408 ODC655406:ODC655408 OMY655406:OMY655408 OWU655406:OWU655408 PGQ655406:PGQ655408 PQM655406:PQM655408 QAI655406:QAI655408 QKE655406:QKE655408 QUA655406:QUA655408 RDW655406:RDW655408 RNS655406:RNS655408 RXO655406:RXO655408 SHK655406:SHK655408 SRG655406:SRG655408 TBC655406:TBC655408 TKY655406:TKY655408 TUU655406:TUU655408 UEQ655406:UEQ655408 UOM655406:UOM655408 UYI655406:UYI655408 VIE655406:VIE655408 VSA655406:VSA655408 WBW655406:WBW655408 WLS655406:WLS655408 WVO655406:WVO655408 G720942:G720944 JC720942:JC720944 SY720942:SY720944 ACU720942:ACU720944 AMQ720942:AMQ720944 AWM720942:AWM720944 BGI720942:BGI720944 BQE720942:BQE720944 CAA720942:CAA720944 CJW720942:CJW720944 CTS720942:CTS720944 DDO720942:DDO720944 DNK720942:DNK720944 DXG720942:DXG720944 EHC720942:EHC720944 EQY720942:EQY720944 FAU720942:FAU720944 FKQ720942:FKQ720944 FUM720942:FUM720944 GEI720942:GEI720944 GOE720942:GOE720944 GYA720942:GYA720944 HHW720942:HHW720944 HRS720942:HRS720944 IBO720942:IBO720944 ILK720942:ILK720944 IVG720942:IVG720944 JFC720942:JFC720944 JOY720942:JOY720944 JYU720942:JYU720944 KIQ720942:KIQ720944 KSM720942:KSM720944 LCI720942:LCI720944 LME720942:LME720944 LWA720942:LWA720944 MFW720942:MFW720944 MPS720942:MPS720944 MZO720942:MZO720944 NJK720942:NJK720944 NTG720942:NTG720944 ODC720942:ODC720944 OMY720942:OMY720944 OWU720942:OWU720944 PGQ720942:PGQ720944 PQM720942:PQM720944 QAI720942:QAI720944 QKE720942:QKE720944 QUA720942:QUA720944 RDW720942:RDW720944 RNS720942:RNS720944 RXO720942:RXO720944 SHK720942:SHK720944 SRG720942:SRG720944 TBC720942:TBC720944 TKY720942:TKY720944 TUU720942:TUU720944 UEQ720942:UEQ720944 UOM720942:UOM720944 UYI720942:UYI720944 VIE720942:VIE720944 VSA720942:VSA720944 WBW720942:WBW720944 WLS720942:WLS720944 WVO720942:WVO720944 G786478:G786480 JC786478:JC786480 SY786478:SY786480 ACU786478:ACU786480 AMQ786478:AMQ786480 AWM786478:AWM786480 BGI786478:BGI786480 BQE786478:BQE786480 CAA786478:CAA786480 CJW786478:CJW786480 CTS786478:CTS786480 DDO786478:DDO786480 DNK786478:DNK786480 DXG786478:DXG786480 EHC786478:EHC786480 EQY786478:EQY786480 FAU786478:FAU786480 FKQ786478:FKQ786480 FUM786478:FUM786480 GEI786478:GEI786480 GOE786478:GOE786480 GYA786478:GYA786480 HHW786478:HHW786480 HRS786478:HRS786480 IBO786478:IBO786480 ILK786478:ILK786480 IVG786478:IVG786480 JFC786478:JFC786480 JOY786478:JOY786480 JYU786478:JYU786480 KIQ786478:KIQ786480 KSM786478:KSM786480 LCI786478:LCI786480 LME786478:LME786480 LWA786478:LWA786480 MFW786478:MFW786480 MPS786478:MPS786480 MZO786478:MZO786480 NJK786478:NJK786480 NTG786478:NTG786480 ODC786478:ODC786480 OMY786478:OMY786480 OWU786478:OWU786480 PGQ786478:PGQ786480 PQM786478:PQM786480 QAI786478:QAI786480 QKE786478:QKE786480 QUA786478:QUA786480 RDW786478:RDW786480 RNS786478:RNS786480 RXO786478:RXO786480 SHK786478:SHK786480 SRG786478:SRG786480 TBC786478:TBC786480 TKY786478:TKY786480 TUU786478:TUU786480 UEQ786478:UEQ786480 UOM786478:UOM786480 UYI786478:UYI786480 VIE786478:VIE786480 VSA786478:VSA786480 WBW786478:WBW786480 WLS786478:WLS786480 WVO786478:WVO786480 G852014:G852016 JC852014:JC852016 SY852014:SY852016 ACU852014:ACU852016 AMQ852014:AMQ852016 AWM852014:AWM852016 BGI852014:BGI852016 BQE852014:BQE852016 CAA852014:CAA852016 CJW852014:CJW852016 CTS852014:CTS852016 DDO852014:DDO852016 DNK852014:DNK852016 DXG852014:DXG852016 EHC852014:EHC852016 EQY852014:EQY852016 FAU852014:FAU852016 FKQ852014:FKQ852016 FUM852014:FUM852016 GEI852014:GEI852016 GOE852014:GOE852016 GYA852014:GYA852016 HHW852014:HHW852016 HRS852014:HRS852016 IBO852014:IBO852016 ILK852014:ILK852016 IVG852014:IVG852016 JFC852014:JFC852016 JOY852014:JOY852016 JYU852014:JYU852016 KIQ852014:KIQ852016 KSM852014:KSM852016 LCI852014:LCI852016 LME852014:LME852016 LWA852014:LWA852016 MFW852014:MFW852016 MPS852014:MPS852016 MZO852014:MZO852016 NJK852014:NJK852016 NTG852014:NTG852016 ODC852014:ODC852016 OMY852014:OMY852016 OWU852014:OWU852016 PGQ852014:PGQ852016 PQM852014:PQM852016 QAI852014:QAI852016 QKE852014:QKE852016 QUA852014:QUA852016 RDW852014:RDW852016 RNS852014:RNS852016 RXO852014:RXO852016 SHK852014:SHK852016 SRG852014:SRG852016 TBC852014:TBC852016 TKY852014:TKY852016 TUU852014:TUU852016 UEQ852014:UEQ852016 UOM852014:UOM852016 UYI852014:UYI852016 VIE852014:VIE852016 VSA852014:VSA852016 WBW852014:WBW852016 WLS852014:WLS852016 WVO852014:WVO852016 G917550:G917552 JC917550:JC917552 SY917550:SY917552 ACU917550:ACU917552 AMQ917550:AMQ917552 AWM917550:AWM917552 BGI917550:BGI917552 BQE917550:BQE917552 CAA917550:CAA917552 CJW917550:CJW917552 CTS917550:CTS917552 DDO917550:DDO917552 DNK917550:DNK917552 DXG917550:DXG917552 EHC917550:EHC917552 EQY917550:EQY917552 FAU917550:FAU917552 FKQ917550:FKQ917552 FUM917550:FUM917552 GEI917550:GEI917552 GOE917550:GOE917552 GYA917550:GYA917552 HHW917550:HHW917552 HRS917550:HRS917552 IBO917550:IBO917552 ILK917550:ILK917552 IVG917550:IVG917552 JFC917550:JFC917552 JOY917550:JOY917552 JYU917550:JYU917552 KIQ917550:KIQ917552 KSM917550:KSM917552 LCI917550:LCI917552 LME917550:LME917552 LWA917550:LWA917552 MFW917550:MFW917552 MPS917550:MPS917552 MZO917550:MZO917552 NJK917550:NJK917552 NTG917550:NTG917552 ODC917550:ODC917552 OMY917550:OMY917552 OWU917550:OWU917552 PGQ917550:PGQ917552 PQM917550:PQM917552 QAI917550:QAI917552 QKE917550:QKE917552 QUA917550:QUA917552 RDW917550:RDW917552 RNS917550:RNS917552 RXO917550:RXO917552 SHK917550:SHK917552 SRG917550:SRG917552 TBC917550:TBC917552 TKY917550:TKY917552 TUU917550:TUU917552 UEQ917550:UEQ917552 UOM917550:UOM917552 UYI917550:UYI917552 VIE917550:VIE917552 VSA917550:VSA917552 WBW917550:WBW917552 WLS917550:WLS917552 WVO917550:WVO917552 G983086:G983088 JC983086:JC983088 SY983086:SY983088 ACU983086:ACU983088 AMQ983086:AMQ983088 AWM983086:AWM983088 BGI983086:BGI983088 BQE983086:BQE983088 CAA983086:CAA983088 CJW983086:CJW983088 CTS983086:CTS983088 DDO983086:DDO983088 DNK983086:DNK983088 DXG983086:DXG983088 EHC983086:EHC983088 EQY983086:EQY983088 FAU983086:FAU983088 FKQ983086:FKQ983088 FUM983086:FUM983088 GEI983086:GEI983088 GOE983086:GOE983088 GYA983086:GYA983088 HHW983086:HHW983088 HRS983086:HRS983088 IBO983086:IBO983088 ILK983086:ILK983088 IVG983086:IVG983088 JFC983086:JFC983088 JOY983086:JOY983088 JYU983086:JYU983088 KIQ983086:KIQ983088 KSM983086:KSM983088 LCI983086:LCI983088 LME983086:LME983088 LWA983086:LWA983088 MFW983086:MFW983088 MPS983086:MPS983088 MZO983086:MZO983088 NJK983086:NJK983088 NTG983086:NTG983088 ODC983086:ODC983088 OMY983086:OMY983088 OWU983086:OWU983088 PGQ983086:PGQ983088 PQM983086:PQM983088 QAI983086:QAI983088 QKE983086:QKE983088 QUA983086:QUA983088 RDW983086:RDW983088 RNS983086:RNS983088 RXO983086:RXO983088 SHK983086:SHK983088 SRG983086:SRG983088 TBC983086:TBC983088 TKY983086:TKY983088 TUU983086:TUU983088 UEQ983086:UEQ983088 UOM983086:UOM983088 UYI983086:UYI983088 VIE983086:VIE983088 VSA983086:VSA983088 WBW983086:WBW983088 WLS983086:WLS983088 WVO983086:WVO983088 G18 JC18 SY18 ACU18 AMQ18 AWM18 BGI18 BQE18 CAA18 CJW18 CTS18 DDO18 DNK18 DXG18 EHC18 EQY18 FAU18 FKQ18 FUM18 GEI18 GOE18 GYA18 HHW18 HRS18 IBO18 ILK18 IVG18 JFC18 JOY18 JYU18 KIQ18 KSM18 LCI18 LME18 LWA18 MFW18 MPS18 MZO18 NJK18 NTG18 ODC18 OMY18 OWU18 PGQ18 PQM18 QAI18 QKE18 QUA18 RDW18 RNS18 RXO18 SHK18 SRG18 TBC18 TKY18 TUU18 UEQ18 UOM18 UYI18 VIE18 VSA18 WBW18 WLS18 WVO18 G65554 JC65554 SY65554 ACU65554 AMQ65554 AWM65554 BGI65554 BQE65554 CAA65554 CJW65554 CTS65554 DDO65554 DNK65554 DXG65554 EHC65554 EQY65554 FAU65554 FKQ65554 FUM65554 GEI65554 GOE65554 GYA65554 HHW65554 HRS65554 IBO65554 ILK65554 IVG65554 JFC65554 JOY65554 JYU65554 KIQ65554 KSM65554 LCI65554 LME65554 LWA65554 MFW65554 MPS65554 MZO65554 NJK65554 NTG65554 ODC65554 OMY65554 OWU65554 PGQ65554 PQM65554 QAI65554 QKE65554 QUA65554 RDW65554 RNS65554 RXO65554 SHK65554 SRG65554 TBC65554 TKY65554 TUU65554 UEQ65554 UOM65554 UYI65554 VIE65554 VSA65554 WBW65554 WLS65554 WVO65554 G131090 JC131090 SY131090 ACU131090 AMQ131090 AWM131090 BGI131090 BQE131090 CAA131090 CJW131090 CTS131090 DDO131090 DNK131090 DXG131090 EHC131090 EQY131090 FAU131090 FKQ131090 FUM131090 GEI131090 GOE131090 GYA131090 HHW131090 HRS131090 IBO131090 ILK131090 IVG131090 JFC131090 JOY131090 JYU131090 KIQ131090 KSM131090 LCI131090 LME131090 LWA131090 MFW131090 MPS131090 MZO131090 NJK131090 NTG131090 ODC131090 OMY131090 OWU131090 PGQ131090 PQM131090 QAI131090 QKE131090 QUA131090 RDW131090 RNS131090 RXO131090 SHK131090 SRG131090 TBC131090 TKY131090 TUU131090 UEQ131090 UOM131090 UYI131090 VIE131090 VSA131090 WBW131090 WLS131090 WVO131090 G196626 JC196626 SY196626 ACU196626 AMQ196626 AWM196626 BGI196626 BQE196626 CAA196626 CJW196626 CTS196626 DDO196626 DNK196626 DXG196626 EHC196626 EQY196626 FAU196626 FKQ196626 FUM196626 GEI196626 GOE196626 GYA196626 HHW196626 HRS196626 IBO196626 ILK196626 IVG196626 JFC196626 JOY196626 JYU196626 KIQ196626 KSM196626 LCI196626 LME196626 LWA196626 MFW196626 MPS196626 MZO196626 NJK196626 NTG196626 ODC196626 OMY196626 OWU196626 PGQ196626 PQM196626 QAI196626 QKE196626 QUA196626 RDW196626 RNS196626 RXO196626 SHK196626 SRG196626 TBC196626 TKY196626 TUU196626 UEQ196626 UOM196626 UYI196626 VIE196626 VSA196626 WBW196626 WLS196626 WVO196626 G262162 JC262162 SY262162 ACU262162 AMQ262162 AWM262162 BGI262162 BQE262162 CAA262162 CJW262162 CTS262162 DDO262162 DNK262162 DXG262162 EHC262162 EQY262162 FAU262162 FKQ262162 FUM262162 GEI262162 GOE262162 GYA262162 HHW262162 HRS262162 IBO262162 ILK262162 IVG262162 JFC262162 JOY262162 JYU262162 KIQ262162 KSM262162 LCI262162 LME262162 LWA262162 MFW262162 MPS262162 MZO262162 NJK262162 NTG262162 ODC262162 OMY262162 OWU262162 PGQ262162 PQM262162 QAI262162 QKE262162 QUA262162 RDW262162 RNS262162 RXO262162 SHK262162 SRG262162 TBC262162 TKY262162 TUU262162 UEQ262162 UOM262162 UYI262162 VIE262162 VSA262162 WBW262162 WLS262162 WVO262162 G327698 JC327698 SY327698 ACU327698 AMQ327698 AWM327698 BGI327698 BQE327698 CAA327698 CJW327698 CTS327698 DDO327698 DNK327698 DXG327698 EHC327698 EQY327698 FAU327698 FKQ327698 FUM327698 GEI327698 GOE327698 GYA327698 HHW327698 HRS327698 IBO327698 ILK327698 IVG327698 JFC327698 JOY327698 JYU327698 KIQ327698 KSM327698 LCI327698 LME327698 LWA327698 MFW327698 MPS327698 MZO327698 NJK327698 NTG327698 ODC327698 OMY327698 OWU327698 PGQ327698 PQM327698 QAI327698 QKE327698 QUA327698 RDW327698 RNS327698 RXO327698 SHK327698 SRG327698 TBC327698 TKY327698 TUU327698 UEQ327698 UOM327698 UYI327698 VIE327698 VSA327698 WBW327698 WLS327698 WVO327698 G393234 JC393234 SY393234 ACU393234 AMQ393234 AWM393234 BGI393234 BQE393234 CAA393234 CJW393234 CTS393234 DDO393234 DNK393234 DXG393234 EHC393234 EQY393234 FAU393234 FKQ393234 FUM393234 GEI393234 GOE393234 GYA393234 HHW393234 HRS393234 IBO393234 ILK393234 IVG393234 JFC393234 JOY393234 JYU393234 KIQ393234 KSM393234 LCI393234 LME393234 LWA393234 MFW393234 MPS393234 MZO393234 NJK393234 NTG393234 ODC393234 OMY393234 OWU393234 PGQ393234 PQM393234 QAI393234 QKE393234 QUA393234 RDW393234 RNS393234 RXO393234 SHK393234 SRG393234 TBC393234 TKY393234 TUU393234 UEQ393234 UOM393234 UYI393234 VIE393234 VSA393234 WBW393234 WLS393234 WVO393234 G458770 JC458770 SY458770 ACU458770 AMQ458770 AWM458770 BGI458770 BQE458770 CAA458770 CJW458770 CTS458770 DDO458770 DNK458770 DXG458770 EHC458770 EQY458770 FAU458770 FKQ458770 FUM458770 GEI458770 GOE458770 GYA458770 HHW458770 HRS458770 IBO458770 ILK458770 IVG458770 JFC458770 JOY458770 JYU458770 KIQ458770 KSM458770 LCI458770 LME458770 LWA458770 MFW458770 MPS458770 MZO458770 NJK458770 NTG458770 ODC458770 OMY458770 OWU458770 PGQ458770 PQM458770 QAI458770 QKE458770 QUA458770 RDW458770 RNS458770 RXO458770 SHK458770 SRG458770 TBC458770 TKY458770 TUU458770 UEQ458770 UOM458770 UYI458770 VIE458770 VSA458770 WBW458770 WLS458770 WVO458770 G524306 JC524306 SY524306 ACU524306 AMQ524306 AWM524306 BGI524306 BQE524306 CAA524306 CJW524306 CTS524306 DDO524306 DNK524306 DXG524306 EHC524306 EQY524306 FAU524306 FKQ524306 FUM524306 GEI524306 GOE524306 GYA524306 HHW524306 HRS524306 IBO524306 ILK524306 IVG524306 JFC524306 JOY524306 JYU524306 KIQ524306 KSM524306 LCI524306 LME524306 LWA524306 MFW524306 MPS524306 MZO524306 NJK524306 NTG524306 ODC524306 OMY524306 OWU524306 PGQ524306 PQM524306 QAI524306 QKE524306 QUA524306 RDW524306 RNS524306 RXO524306 SHK524306 SRG524306 TBC524306 TKY524306 TUU524306 UEQ524306 UOM524306 UYI524306 VIE524306 VSA524306 WBW524306 WLS524306 WVO524306 G589842 JC589842 SY589842 ACU589842 AMQ589842 AWM589842 BGI589842 BQE589842 CAA589842 CJW589842 CTS589842 DDO589842 DNK589842 DXG589842 EHC589842 EQY589842 FAU589842 FKQ589842 FUM589842 GEI589842 GOE589842 GYA589842 HHW589842 HRS589842 IBO589842 ILK589842 IVG589842 JFC589842 JOY589842 JYU589842 KIQ589842 KSM589842 LCI589842 LME589842 LWA589842 MFW589842 MPS589842 MZO589842 NJK589842 NTG589842 ODC589842 OMY589842 OWU589842 PGQ589842 PQM589842 QAI589842 QKE589842 QUA589842 RDW589842 RNS589842 RXO589842 SHK589842 SRG589842 TBC589842 TKY589842 TUU589842 UEQ589842 UOM589842 UYI589842 VIE589842 VSA589842 WBW589842 WLS589842 WVO589842 G655378 JC655378 SY655378 ACU655378 AMQ655378 AWM655378 BGI655378 BQE655378 CAA655378 CJW655378 CTS655378 DDO655378 DNK655378 DXG655378 EHC655378 EQY655378 FAU655378 FKQ655378 FUM655378 GEI655378 GOE655378 GYA655378 HHW655378 HRS655378 IBO655378 ILK655378 IVG655378 JFC655378 JOY655378 JYU655378 KIQ655378 KSM655378 LCI655378 LME655378 LWA655378 MFW655378 MPS655378 MZO655378 NJK655378 NTG655378 ODC655378 OMY655378 OWU655378 PGQ655378 PQM655378 QAI655378 QKE655378 QUA655378 RDW655378 RNS655378 RXO655378 SHK655378 SRG655378 TBC655378 TKY655378 TUU655378 UEQ655378 UOM655378 UYI655378 VIE655378 VSA655378 WBW655378 WLS655378 WVO655378 G720914 JC720914 SY720914 ACU720914 AMQ720914 AWM720914 BGI720914 BQE720914 CAA720914 CJW720914 CTS720914 DDO720914 DNK720914 DXG720914 EHC720914 EQY720914 FAU720914 FKQ720914 FUM720914 GEI720914 GOE720914 GYA720914 HHW720914 HRS720914 IBO720914 ILK720914 IVG720914 JFC720914 JOY720914 JYU720914 KIQ720914 KSM720914 LCI720914 LME720914 LWA720914 MFW720914 MPS720914 MZO720914 NJK720914 NTG720914 ODC720914 OMY720914 OWU720914 PGQ720914 PQM720914 QAI720914 QKE720914 QUA720914 RDW720914 RNS720914 RXO720914 SHK720914 SRG720914 TBC720914 TKY720914 TUU720914 UEQ720914 UOM720914 UYI720914 VIE720914 VSA720914 WBW720914 WLS720914 WVO720914 G786450 JC786450 SY786450 ACU786450 AMQ786450 AWM786450 BGI786450 BQE786450 CAA786450 CJW786450 CTS786450 DDO786450 DNK786450 DXG786450 EHC786450 EQY786450 FAU786450 FKQ786450 FUM786450 GEI786450 GOE786450 GYA786450 HHW786450 HRS786450 IBO786450 ILK786450 IVG786450 JFC786450 JOY786450 JYU786450 KIQ786450 KSM786450 LCI786450 LME786450 LWA786450 MFW786450 MPS786450 MZO786450 NJK786450 NTG786450 ODC786450 OMY786450 OWU786450 PGQ786450 PQM786450 QAI786450 QKE786450 QUA786450 RDW786450 RNS786450 RXO786450 SHK786450 SRG786450 TBC786450 TKY786450 TUU786450 UEQ786450 UOM786450 UYI786450 VIE786450 VSA786450 WBW786450 WLS786450 WVO786450 G851986 JC851986 SY851986 ACU851986 AMQ851986 AWM851986 BGI851986 BQE851986 CAA851986 CJW851986 CTS851986 DDO851986 DNK851986 DXG851986 EHC851986 EQY851986 FAU851986 FKQ851986 FUM851986 GEI851986 GOE851986 GYA851986 HHW851986 HRS851986 IBO851986 ILK851986 IVG851986 JFC851986 JOY851986 JYU851986 KIQ851986 KSM851986 LCI851986 LME851986 LWA851986 MFW851986 MPS851986 MZO851986 NJK851986 NTG851986 ODC851986 OMY851986 OWU851986 PGQ851986 PQM851986 QAI851986 QKE851986 QUA851986 RDW851986 RNS851986 RXO851986 SHK851986 SRG851986 TBC851986 TKY851986 TUU851986 UEQ851986 UOM851986 UYI851986 VIE851986 VSA851986 WBW851986 WLS851986 WVO851986 G917522 JC917522 SY917522 ACU917522 AMQ917522 AWM917522 BGI917522 BQE917522 CAA917522 CJW917522 CTS917522 DDO917522 DNK917522 DXG917522 EHC917522 EQY917522 FAU917522 FKQ917522 FUM917522 GEI917522 GOE917522 GYA917522 HHW917522 HRS917522 IBO917522 ILK917522 IVG917522 JFC917522 JOY917522 JYU917522 KIQ917522 KSM917522 LCI917522 LME917522 LWA917522 MFW917522 MPS917522 MZO917522 NJK917522 NTG917522 ODC917522 OMY917522 OWU917522 PGQ917522 PQM917522 QAI917522 QKE917522 QUA917522 RDW917522 RNS917522 RXO917522 SHK917522 SRG917522 TBC917522 TKY917522 TUU917522 UEQ917522 UOM917522 UYI917522 VIE917522 VSA917522 WBW917522 WLS917522 WVO917522 G983058 JC983058 SY983058 ACU983058 AMQ983058 AWM983058 BGI983058 BQE983058 CAA983058 CJW983058 CTS983058 DDO983058 DNK983058 DXG983058 EHC983058 EQY983058 FAU983058 FKQ983058 FUM983058 GEI983058 GOE983058 GYA983058 HHW983058 HRS983058 IBO983058 ILK983058 IVG983058 JFC983058 JOY983058 JYU983058 KIQ983058 KSM983058 LCI983058 LME983058 LWA983058 MFW983058 MPS983058 MZO983058 NJK983058 NTG983058 ODC983058 OMY983058 OWU983058 PGQ983058 PQM983058 QAI983058 QKE983058 QUA983058 RDW983058 RNS983058 RXO983058 SHK983058 SRG983058 TBC983058 TKY983058 TUU983058 UEQ983058 UOM983058 UYI983058 VIE983058 VSA983058 WBW983058 WLS983058 WVO983058 G27 JC27 SY27 ACU27 AMQ27 AWM27 BGI27 BQE27 CAA27 CJW27 CTS27 DDO27 DNK27 DXG27 EHC27 EQY27 FAU27 FKQ27 FUM27 GEI27 GOE27 GYA27 HHW27 HRS27 IBO27 ILK27 IVG27 JFC27 JOY27 JYU27 KIQ27 KSM27 LCI27 LME27 LWA27 MFW27 MPS27 MZO27 NJK27 NTG27 ODC27 OMY27 OWU27 PGQ27 PQM27 QAI27 QKE27 QUA27 RDW27 RNS27 RXO27 SHK27 SRG27 TBC27 TKY27 TUU27 UEQ27 UOM27 UYI27 VIE27 VSA27 WBW27 WLS27 WVO27 G65563 JC65563 SY65563 ACU65563 AMQ65563 AWM65563 BGI65563 BQE65563 CAA65563 CJW65563 CTS65563 DDO65563 DNK65563 DXG65563 EHC65563 EQY65563 FAU65563 FKQ65563 FUM65563 GEI65563 GOE65563 GYA65563 HHW65563 HRS65563 IBO65563 ILK65563 IVG65563 JFC65563 JOY65563 JYU65563 KIQ65563 KSM65563 LCI65563 LME65563 LWA65563 MFW65563 MPS65563 MZO65563 NJK65563 NTG65563 ODC65563 OMY65563 OWU65563 PGQ65563 PQM65563 QAI65563 QKE65563 QUA65563 RDW65563 RNS65563 RXO65563 SHK65563 SRG65563 TBC65563 TKY65563 TUU65563 UEQ65563 UOM65563 UYI65563 VIE65563 VSA65563 WBW65563 WLS65563 WVO65563 G131099 JC131099 SY131099 ACU131099 AMQ131099 AWM131099 BGI131099 BQE131099 CAA131099 CJW131099 CTS131099 DDO131099 DNK131099 DXG131099 EHC131099 EQY131099 FAU131099 FKQ131099 FUM131099 GEI131099 GOE131099 GYA131099 HHW131099 HRS131099 IBO131099 ILK131099 IVG131099 JFC131099 JOY131099 JYU131099 KIQ131099 KSM131099 LCI131099 LME131099 LWA131099 MFW131099 MPS131099 MZO131099 NJK131099 NTG131099 ODC131099 OMY131099 OWU131099 PGQ131099 PQM131099 QAI131099 QKE131099 QUA131099 RDW131099 RNS131099 RXO131099 SHK131099 SRG131099 TBC131099 TKY131099 TUU131099 UEQ131099 UOM131099 UYI131099 VIE131099 VSA131099 WBW131099 WLS131099 WVO131099 G196635 JC196635 SY196635 ACU196635 AMQ196635 AWM196635 BGI196635 BQE196635 CAA196635 CJW196635 CTS196635 DDO196635 DNK196635 DXG196635 EHC196635 EQY196635 FAU196635 FKQ196635 FUM196635 GEI196635 GOE196635 GYA196635 HHW196635 HRS196635 IBO196635 ILK196635 IVG196635 JFC196635 JOY196635 JYU196635 KIQ196635 KSM196635 LCI196635 LME196635 LWA196635 MFW196635 MPS196635 MZO196635 NJK196635 NTG196635 ODC196635 OMY196635 OWU196635 PGQ196635 PQM196635 QAI196635 QKE196635 QUA196635 RDW196635 RNS196635 RXO196635 SHK196635 SRG196635 TBC196635 TKY196635 TUU196635 UEQ196635 UOM196635 UYI196635 VIE196635 VSA196635 WBW196635 WLS196635 WVO196635 G262171 JC262171 SY262171 ACU262171 AMQ262171 AWM262171 BGI262171 BQE262171 CAA262171 CJW262171 CTS262171 DDO262171 DNK262171 DXG262171 EHC262171 EQY262171 FAU262171 FKQ262171 FUM262171 GEI262171 GOE262171 GYA262171 HHW262171 HRS262171 IBO262171 ILK262171 IVG262171 JFC262171 JOY262171 JYU262171 KIQ262171 KSM262171 LCI262171 LME262171 LWA262171 MFW262171 MPS262171 MZO262171 NJK262171 NTG262171 ODC262171 OMY262171 OWU262171 PGQ262171 PQM262171 QAI262171 QKE262171 QUA262171 RDW262171 RNS262171 RXO262171 SHK262171 SRG262171 TBC262171 TKY262171 TUU262171 UEQ262171 UOM262171 UYI262171 VIE262171 VSA262171 WBW262171 WLS262171 WVO262171 G327707 JC327707 SY327707 ACU327707 AMQ327707 AWM327707 BGI327707 BQE327707 CAA327707 CJW327707 CTS327707 DDO327707 DNK327707 DXG327707 EHC327707 EQY327707 FAU327707 FKQ327707 FUM327707 GEI327707 GOE327707 GYA327707 HHW327707 HRS327707 IBO327707 ILK327707 IVG327707 JFC327707 JOY327707 JYU327707 KIQ327707 KSM327707 LCI327707 LME327707 LWA327707 MFW327707 MPS327707 MZO327707 NJK327707 NTG327707 ODC327707 OMY327707 OWU327707 PGQ327707 PQM327707 QAI327707 QKE327707 QUA327707 RDW327707 RNS327707 RXO327707 SHK327707 SRG327707 TBC327707 TKY327707 TUU327707 UEQ327707 UOM327707 UYI327707 VIE327707 VSA327707 WBW327707 WLS327707 WVO327707 G393243 JC393243 SY393243 ACU393243 AMQ393243 AWM393243 BGI393243 BQE393243 CAA393243 CJW393243 CTS393243 DDO393243 DNK393243 DXG393243 EHC393243 EQY393243 FAU393243 FKQ393243 FUM393243 GEI393243 GOE393243 GYA393243 HHW393243 HRS393243 IBO393243 ILK393243 IVG393243 JFC393243 JOY393243 JYU393243 KIQ393243 KSM393243 LCI393243 LME393243 LWA393243 MFW393243 MPS393243 MZO393243 NJK393243 NTG393243 ODC393243 OMY393243 OWU393243 PGQ393243 PQM393243 QAI393243 QKE393243 QUA393243 RDW393243 RNS393243 RXO393243 SHK393243 SRG393243 TBC393243 TKY393243 TUU393243 UEQ393243 UOM393243 UYI393243 VIE393243 VSA393243 WBW393243 WLS393243 WVO393243 G458779 JC458779 SY458779 ACU458779 AMQ458779 AWM458779 BGI458779 BQE458779 CAA458779 CJW458779 CTS458779 DDO458779 DNK458779 DXG458779 EHC458779 EQY458779 FAU458779 FKQ458779 FUM458779 GEI458779 GOE458779 GYA458779 HHW458779 HRS458779 IBO458779 ILK458779 IVG458779 JFC458779 JOY458779 JYU458779 KIQ458779 KSM458779 LCI458779 LME458779 LWA458779 MFW458779 MPS458779 MZO458779 NJK458779 NTG458779 ODC458779 OMY458779 OWU458779 PGQ458779 PQM458779 QAI458779 QKE458779 QUA458779 RDW458779 RNS458779 RXO458779 SHK458779 SRG458779 TBC458779 TKY458779 TUU458779 UEQ458779 UOM458779 UYI458779 VIE458779 VSA458779 WBW458779 WLS458779 WVO458779 G524315 JC524315 SY524315 ACU524315 AMQ524315 AWM524315 BGI524315 BQE524315 CAA524315 CJW524315 CTS524315 DDO524315 DNK524315 DXG524315 EHC524315 EQY524315 FAU524315 FKQ524315 FUM524315 GEI524315 GOE524315 GYA524315 HHW524315 HRS524315 IBO524315 ILK524315 IVG524315 JFC524315 JOY524315 JYU524315 KIQ524315 KSM524315 LCI524315 LME524315 LWA524315 MFW524315 MPS524315 MZO524315 NJK524315 NTG524315 ODC524315 OMY524315 OWU524315 PGQ524315 PQM524315 QAI524315 QKE524315 QUA524315 RDW524315 RNS524315 RXO524315 SHK524315 SRG524315 TBC524315 TKY524315 TUU524315 UEQ524315 UOM524315 UYI524315 VIE524315 VSA524315 WBW524315 WLS524315 WVO524315 G589851 JC589851 SY589851 ACU589851 AMQ589851 AWM589851 BGI589851 BQE589851 CAA589851 CJW589851 CTS589851 DDO589851 DNK589851 DXG589851 EHC589851 EQY589851 FAU589851 FKQ589851 FUM589851 GEI589851 GOE589851 GYA589851 HHW589851 HRS589851 IBO589851 ILK589851 IVG589851 JFC589851 JOY589851 JYU589851 KIQ589851 KSM589851 LCI589851 LME589851 LWA589851 MFW589851 MPS589851 MZO589851 NJK589851 NTG589851 ODC589851 OMY589851 OWU589851 PGQ589851 PQM589851 QAI589851 QKE589851 QUA589851 RDW589851 RNS589851 RXO589851 SHK589851 SRG589851 TBC589851 TKY589851 TUU589851 UEQ589851 UOM589851 UYI589851 VIE589851 VSA589851 WBW589851 WLS589851 WVO589851 G655387 JC655387 SY655387 ACU655387 AMQ655387 AWM655387 BGI655387 BQE655387 CAA655387 CJW655387 CTS655387 DDO655387 DNK655387 DXG655387 EHC655387 EQY655387 FAU655387 FKQ655387 FUM655387 GEI655387 GOE655387 GYA655387 HHW655387 HRS655387 IBO655387 ILK655387 IVG655387 JFC655387 JOY655387 JYU655387 KIQ655387 KSM655387 LCI655387 LME655387 LWA655387 MFW655387 MPS655387 MZO655387 NJK655387 NTG655387 ODC655387 OMY655387 OWU655387 PGQ655387 PQM655387 QAI655387 QKE655387 QUA655387 RDW655387 RNS655387 RXO655387 SHK655387 SRG655387 TBC655387 TKY655387 TUU655387 UEQ655387 UOM655387 UYI655387 VIE655387 VSA655387 WBW655387 WLS655387 WVO655387 G720923 JC720923 SY720923 ACU720923 AMQ720923 AWM720923 BGI720923 BQE720923 CAA720923 CJW720923 CTS720923 DDO720923 DNK720923 DXG720923 EHC720923 EQY720923 FAU720923 FKQ720923 FUM720923 GEI720923 GOE720923 GYA720923 HHW720923 HRS720923 IBO720923 ILK720923 IVG720923 JFC720923 JOY720923 JYU720923 KIQ720923 KSM720923 LCI720923 LME720923 LWA720923 MFW720923 MPS720923 MZO720923 NJK720923 NTG720923 ODC720923 OMY720923 OWU720923 PGQ720923 PQM720923 QAI720923 QKE720923 QUA720923 RDW720923 RNS720923 RXO720923 SHK720923 SRG720923 TBC720923 TKY720923 TUU720923 UEQ720923 UOM720923 UYI720923 VIE720923 VSA720923 WBW720923 WLS720923 WVO720923 G786459 JC786459 SY786459 ACU786459 AMQ786459 AWM786459 BGI786459 BQE786459 CAA786459 CJW786459 CTS786459 DDO786459 DNK786459 DXG786459 EHC786459 EQY786459 FAU786459 FKQ786459 FUM786459 GEI786459 GOE786459 GYA786459 HHW786459 HRS786459 IBO786459 ILK786459 IVG786459 JFC786459 JOY786459 JYU786459 KIQ786459 KSM786459 LCI786459 LME786459 LWA786459 MFW786459 MPS786459 MZO786459 NJK786459 NTG786459 ODC786459 OMY786459 OWU786459 PGQ786459 PQM786459 QAI786459 QKE786459 QUA786459 RDW786459 RNS786459 RXO786459 SHK786459 SRG786459 TBC786459 TKY786459 TUU786459 UEQ786459 UOM786459 UYI786459 VIE786459 VSA786459 WBW786459 WLS786459 WVO786459 G851995 JC851995 SY851995 ACU851995 AMQ851995 AWM851995 BGI851995 BQE851995 CAA851995 CJW851995 CTS851995 DDO851995 DNK851995 DXG851995 EHC851995 EQY851995 FAU851995 FKQ851995 FUM851995 GEI851995 GOE851995 GYA851995 HHW851995 HRS851995 IBO851995 ILK851995 IVG851995 JFC851995 JOY851995 JYU851995 KIQ851995 KSM851995 LCI851995 LME851995 LWA851995 MFW851995 MPS851995 MZO851995 NJK851995 NTG851995 ODC851995 OMY851995 OWU851995 PGQ851995 PQM851995 QAI851995 QKE851995 QUA851995 RDW851995 RNS851995 RXO851995 SHK851995 SRG851995 TBC851995 TKY851995 TUU851995 UEQ851995 UOM851995 UYI851995 VIE851995 VSA851995 WBW851995 WLS851995 WVO851995 G917531 JC917531 SY917531 ACU917531 AMQ917531 AWM917531 BGI917531 BQE917531 CAA917531 CJW917531 CTS917531 DDO917531 DNK917531 DXG917531 EHC917531 EQY917531 FAU917531 FKQ917531 FUM917531 GEI917531 GOE917531 GYA917531 HHW917531 HRS917531 IBO917531 ILK917531 IVG917531 JFC917531 JOY917531 JYU917531 KIQ917531 KSM917531 LCI917531 LME917531 LWA917531 MFW917531 MPS917531 MZO917531 NJK917531 NTG917531 ODC917531 OMY917531 OWU917531 PGQ917531 PQM917531 QAI917531 QKE917531 QUA917531 RDW917531 RNS917531 RXO917531 SHK917531 SRG917531 TBC917531 TKY917531 TUU917531 UEQ917531 UOM917531 UYI917531 VIE917531 VSA917531 WBW917531 WLS917531 WVO917531 G983067 JC983067 SY983067 ACU983067 AMQ983067 AWM983067 BGI983067 BQE983067 CAA983067 CJW983067 CTS983067 DDO983067 DNK983067 DXG983067 EHC983067 EQY983067 FAU983067 FKQ983067 FUM983067 GEI983067 GOE983067 GYA983067 HHW983067 HRS983067 IBO983067 ILK983067 IVG983067 JFC983067 JOY983067 JYU983067 KIQ983067 KSM983067 LCI983067 LME983067 LWA983067 MFW983067 MPS983067 MZO983067 NJK983067 NTG983067 ODC983067 OMY983067 OWU983067 PGQ983067 PQM983067 QAI983067 QKE983067 QUA983067 RDW983067 RNS983067 RXO983067 SHK983067 SRG983067 TBC983067 TKY983067 TUU983067 UEQ983067 UOM983067 UYI983067 VIE983067 VSA983067 WBW983067 WLS983067 WVO983067 G29 JC29 SY29 ACU29 AMQ29 AWM29 BGI29 BQE29 CAA29 CJW29 CTS29 DDO29 DNK29 DXG29 EHC29 EQY29 FAU29 FKQ29 FUM29 GEI29 GOE29 GYA29 HHW29 HRS29 IBO29 ILK29 IVG29 JFC29 JOY29 JYU29 KIQ29 KSM29 LCI29 LME29 LWA29 MFW29 MPS29 MZO29 NJK29 NTG29 ODC29 OMY29 OWU29 PGQ29 PQM29 QAI29 QKE29 QUA29 RDW29 RNS29 RXO29 SHK29 SRG29 TBC29 TKY29 TUU29 UEQ29 UOM29 UYI29 VIE29 VSA29 WBW29 WLS29 WVO29 G65565 JC65565 SY65565 ACU65565 AMQ65565 AWM65565 BGI65565 BQE65565 CAA65565 CJW65565 CTS65565 DDO65565 DNK65565 DXG65565 EHC65565 EQY65565 FAU65565 FKQ65565 FUM65565 GEI65565 GOE65565 GYA65565 HHW65565 HRS65565 IBO65565 ILK65565 IVG65565 JFC65565 JOY65565 JYU65565 KIQ65565 KSM65565 LCI65565 LME65565 LWA65565 MFW65565 MPS65565 MZO65565 NJK65565 NTG65565 ODC65565 OMY65565 OWU65565 PGQ65565 PQM65565 QAI65565 QKE65565 QUA65565 RDW65565 RNS65565 RXO65565 SHK65565 SRG65565 TBC65565 TKY65565 TUU65565 UEQ65565 UOM65565 UYI65565 VIE65565 VSA65565 WBW65565 WLS65565 WVO65565 G131101 JC131101 SY131101 ACU131101 AMQ131101 AWM131101 BGI131101 BQE131101 CAA131101 CJW131101 CTS131101 DDO131101 DNK131101 DXG131101 EHC131101 EQY131101 FAU131101 FKQ131101 FUM131101 GEI131101 GOE131101 GYA131101 HHW131101 HRS131101 IBO131101 ILK131101 IVG131101 JFC131101 JOY131101 JYU131101 KIQ131101 KSM131101 LCI131101 LME131101 LWA131101 MFW131101 MPS131101 MZO131101 NJK131101 NTG131101 ODC131101 OMY131101 OWU131101 PGQ131101 PQM131101 QAI131101 QKE131101 QUA131101 RDW131101 RNS131101 RXO131101 SHK131101 SRG131101 TBC131101 TKY131101 TUU131101 UEQ131101 UOM131101 UYI131101 VIE131101 VSA131101 WBW131101 WLS131101 WVO131101 G196637 JC196637 SY196637 ACU196637 AMQ196637 AWM196637 BGI196637 BQE196637 CAA196637 CJW196637 CTS196637 DDO196637 DNK196637 DXG196637 EHC196637 EQY196637 FAU196637 FKQ196637 FUM196637 GEI196637 GOE196637 GYA196637 HHW196637 HRS196637 IBO196637 ILK196637 IVG196637 JFC196637 JOY196637 JYU196637 KIQ196637 KSM196637 LCI196637 LME196637 LWA196637 MFW196637 MPS196637 MZO196637 NJK196637 NTG196637 ODC196637 OMY196637 OWU196637 PGQ196637 PQM196637 QAI196637 QKE196637 QUA196637 RDW196637 RNS196637 RXO196637 SHK196637 SRG196637 TBC196637 TKY196637 TUU196637 UEQ196637 UOM196637 UYI196637 VIE196637 VSA196637 WBW196637 WLS196637 WVO196637 G262173 JC262173 SY262173 ACU262173 AMQ262173 AWM262173 BGI262173 BQE262173 CAA262173 CJW262173 CTS262173 DDO262173 DNK262173 DXG262173 EHC262173 EQY262173 FAU262173 FKQ262173 FUM262173 GEI262173 GOE262173 GYA262173 HHW262173 HRS262173 IBO262173 ILK262173 IVG262173 JFC262173 JOY262173 JYU262173 KIQ262173 KSM262173 LCI262173 LME262173 LWA262173 MFW262173 MPS262173 MZO262173 NJK262173 NTG262173 ODC262173 OMY262173 OWU262173 PGQ262173 PQM262173 QAI262173 QKE262173 QUA262173 RDW262173 RNS262173 RXO262173 SHK262173 SRG262173 TBC262173 TKY262173 TUU262173 UEQ262173 UOM262173 UYI262173 VIE262173 VSA262173 WBW262173 WLS262173 WVO262173 G327709 JC327709 SY327709 ACU327709 AMQ327709 AWM327709 BGI327709 BQE327709 CAA327709 CJW327709 CTS327709 DDO327709 DNK327709 DXG327709 EHC327709 EQY327709 FAU327709 FKQ327709 FUM327709 GEI327709 GOE327709 GYA327709 HHW327709 HRS327709 IBO327709 ILK327709 IVG327709 JFC327709 JOY327709 JYU327709 KIQ327709 KSM327709 LCI327709 LME327709 LWA327709 MFW327709 MPS327709 MZO327709 NJK327709 NTG327709 ODC327709 OMY327709 OWU327709 PGQ327709 PQM327709 QAI327709 QKE327709 QUA327709 RDW327709 RNS327709 RXO327709 SHK327709 SRG327709 TBC327709 TKY327709 TUU327709 UEQ327709 UOM327709 UYI327709 VIE327709 VSA327709 WBW327709 WLS327709 WVO327709 G393245 JC393245 SY393245 ACU393245 AMQ393245 AWM393245 BGI393245 BQE393245 CAA393245 CJW393245 CTS393245 DDO393245 DNK393245 DXG393245 EHC393245 EQY393245 FAU393245 FKQ393245 FUM393245 GEI393245 GOE393245 GYA393245 HHW393245 HRS393245 IBO393245 ILK393245 IVG393245 JFC393245 JOY393245 JYU393245 KIQ393245 KSM393245 LCI393245 LME393245 LWA393245 MFW393245 MPS393245 MZO393245 NJK393245 NTG393245 ODC393245 OMY393245 OWU393245 PGQ393245 PQM393245 QAI393245 QKE393245 QUA393245 RDW393245 RNS393245 RXO393245 SHK393245 SRG393245 TBC393245 TKY393245 TUU393245 UEQ393245 UOM393245 UYI393245 VIE393245 VSA393245 WBW393245 WLS393245 WVO393245 G458781 JC458781 SY458781 ACU458781 AMQ458781 AWM458781 BGI458781 BQE458781 CAA458781 CJW458781 CTS458781 DDO458781 DNK458781 DXG458781 EHC458781 EQY458781 FAU458781 FKQ458781 FUM458781 GEI458781 GOE458781 GYA458781 HHW458781 HRS458781 IBO458781 ILK458781 IVG458781 JFC458781 JOY458781 JYU458781 KIQ458781 KSM458781 LCI458781 LME458781 LWA458781 MFW458781 MPS458781 MZO458781 NJK458781 NTG458781 ODC458781 OMY458781 OWU458781 PGQ458781 PQM458781 QAI458781 QKE458781 QUA458781 RDW458781 RNS458781 RXO458781 SHK458781 SRG458781 TBC458781 TKY458781 TUU458781 UEQ458781 UOM458781 UYI458781 VIE458781 VSA458781 WBW458781 WLS458781 WVO458781 G524317 JC524317 SY524317 ACU524317 AMQ524317 AWM524317 BGI524317 BQE524317 CAA524317 CJW524317 CTS524317 DDO524317 DNK524317 DXG524317 EHC524317 EQY524317 FAU524317 FKQ524317 FUM524317 GEI524317 GOE524317 GYA524317 HHW524317 HRS524317 IBO524317 ILK524317 IVG524317 JFC524317 JOY524317 JYU524317 KIQ524317 KSM524317 LCI524317 LME524317 LWA524317 MFW524317 MPS524317 MZO524317 NJK524317 NTG524317 ODC524317 OMY524317 OWU524317 PGQ524317 PQM524317 QAI524317 QKE524317 QUA524317 RDW524317 RNS524317 RXO524317 SHK524317 SRG524317 TBC524317 TKY524317 TUU524317 UEQ524317 UOM524317 UYI524317 VIE524317 VSA524317 WBW524317 WLS524317 WVO524317 G589853 JC589853 SY589853 ACU589853 AMQ589853 AWM589853 BGI589853 BQE589853 CAA589853 CJW589853 CTS589853 DDO589853 DNK589853 DXG589853 EHC589853 EQY589853 FAU589853 FKQ589853 FUM589853 GEI589853 GOE589853 GYA589853 HHW589853 HRS589853 IBO589853 ILK589853 IVG589853 JFC589853 JOY589853 JYU589853 KIQ589853 KSM589853 LCI589853 LME589853 LWA589853 MFW589853 MPS589853 MZO589853 NJK589853 NTG589853 ODC589853 OMY589853 OWU589853 PGQ589853 PQM589853 QAI589853 QKE589853 QUA589853 RDW589853 RNS589853 RXO589853 SHK589853 SRG589853 TBC589853 TKY589853 TUU589853 UEQ589853 UOM589853 UYI589853 VIE589853 VSA589853 WBW589853 WLS589853 WVO589853 G655389 JC655389 SY655389 ACU655389 AMQ655389 AWM655389 BGI655389 BQE655389 CAA655389 CJW655389 CTS655389 DDO655389 DNK655389 DXG655389 EHC655389 EQY655389 FAU655389 FKQ655389 FUM655389 GEI655389 GOE655389 GYA655389 HHW655389 HRS655389 IBO655389 ILK655389 IVG655389 JFC655389 JOY655389 JYU655389 KIQ655389 KSM655389 LCI655389 LME655389 LWA655389 MFW655389 MPS655389 MZO655389 NJK655389 NTG655389 ODC655389 OMY655389 OWU655389 PGQ655389 PQM655389 QAI655389 QKE655389 QUA655389 RDW655389 RNS655389 RXO655389 SHK655389 SRG655389 TBC655389 TKY655389 TUU655389 UEQ655389 UOM655389 UYI655389 VIE655389 VSA655389 WBW655389 WLS655389 WVO655389 G720925 JC720925 SY720925 ACU720925 AMQ720925 AWM720925 BGI720925 BQE720925 CAA720925 CJW720925 CTS720925 DDO720925 DNK720925 DXG720925 EHC720925 EQY720925 FAU720925 FKQ720925 FUM720925 GEI720925 GOE720925 GYA720925 HHW720925 HRS720925 IBO720925 ILK720925 IVG720925 JFC720925 JOY720925 JYU720925 KIQ720925 KSM720925 LCI720925 LME720925 LWA720925 MFW720925 MPS720925 MZO720925 NJK720925 NTG720925 ODC720925 OMY720925 OWU720925 PGQ720925 PQM720925 QAI720925 QKE720925 QUA720925 RDW720925 RNS720925 RXO720925 SHK720925 SRG720925 TBC720925 TKY720925 TUU720925 UEQ720925 UOM720925 UYI720925 VIE720925 VSA720925 WBW720925 WLS720925 WVO720925 G786461 JC786461 SY786461 ACU786461 AMQ786461 AWM786461 BGI786461 BQE786461 CAA786461 CJW786461 CTS786461 DDO786461 DNK786461 DXG786461 EHC786461 EQY786461 FAU786461 FKQ786461 FUM786461 GEI786461 GOE786461 GYA786461 HHW786461 HRS786461 IBO786461 ILK786461 IVG786461 JFC786461 JOY786461 JYU786461 KIQ786461 KSM786461 LCI786461 LME786461 LWA786461 MFW786461 MPS786461 MZO786461 NJK786461 NTG786461 ODC786461 OMY786461 OWU786461 PGQ786461 PQM786461 QAI786461 QKE786461 QUA786461 RDW786461 RNS786461 RXO786461 SHK786461 SRG786461 TBC786461 TKY786461 TUU786461 UEQ786461 UOM786461 UYI786461 VIE786461 VSA786461 WBW786461 WLS786461 WVO786461 G851997 JC851997 SY851997 ACU851997 AMQ851997 AWM851997 BGI851997 BQE851997 CAA851997 CJW851997 CTS851997 DDO851997 DNK851997 DXG851997 EHC851997 EQY851997 FAU851997 FKQ851997 FUM851997 GEI851997 GOE851997 GYA851997 HHW851997 HRS851997 IBO851997 ILK851997 IVG851997 JFC851997 JOY851997 JYU851997 KIQ851997 KSM851997 LCI851997 LME851997 LWA851997 MFW851997 MPS851997 MZO851997 NJK851997 NTG851997 ODC851997 OMY851997 OWU851997 PGQ851997 PQM851997 QAI851997 QKE851997 QUA851997 RDW851997 RNS851997 RXO851997 SHK851997 SRG851997 TBC851997 TKY851997 TUU851997 UEQ851997 UOM851997 UYI851997 VIE851997 VSA851997 WBW851997 WLS851997 WVO851997 G917533 JC917533 SY917533 ACU917533 AMQ917533 AWM917533 BGI917533 BQE917533 CAA917533 CJW917533 CTS917533 DDO917533 DNK917533 DXG917533 EHC917533 EQY917533 FAU917533 FKQ917533 FUM917533 GEI917533 GOE917533 GYA917533 HHW917533 HRS917533 IBO917533 ILK917533 IVG917533 JFC917533 JOY917533 JYU917533 KIQ917533 KSM917533 LCI917533 LME917533 LWA917533 MFW917533 MPS917533 MZO917533 NJK917533 NTG917533 ODC917533 OMY917533 OWU917533 PGQ917533 PQM917533 QAI917533 QKE917533 QUA917533 RDW917533 RNS917533 RXO917533 SHK917533 SRG917533 TBC917533 TKY917533 TUU917533 UEQ917533 UOM917533 UYI917533 VIE917533 VSA917533 WBW917533 WLS917533 WVO917533 G983069 JC983069 SY983069 ACU983069 AMQ983069 AWM983069 BGI983069 BQE983069 CAA983069 CJW983069 CTS983069 DDO983069 DNK983069 DXG983069 EHC983069 EQY983069 FAU983069 FKQ983069 FUM983069 GEI983069 GOE983069 GYA983069 HHW983069 HRS983069 IBO983069 ILK983069 IVG983069 JFC983069 JOY983069 JYU983069 KIQ983069 KSM983069 LCI983069 LME983069 LWA983069 MFW983069 MPS983069 MZO983069 NJK983069 NTG983069 ODC983069 OMY983069 OWU983069 PGQ983069 PQM983069 QAI983069 QKE983069 QUA983069 RDW983069 RNS983069 RXO983069 SHK983069 SRG983069 TBC983069 TKY983069 TUU983069 UEQ983069 UOM983069 UYI983069 VIE983069 VSA983069 WBW983069 WLS983069 WVO983069 G31 JC31 SY31 ACU31 AMQ31 AWM31 BGI31 BQE31 CAA31 CJW31 CTS31 DDO31 DNK31 DXG31 EHC31 EQY31 FAU31 FKQ31 FUM31 GEI31 GOE31 GYA31 HHW31 HRS31 IBO31 ILK31 IVG31 JFC31 JOY31 JYU31 KIQ31 KSM31 LCI31 LME31 LWA31 MFW31 MPS31 MZO31 NJK31 NTG31 ODC31 OMY31 OWU31 PGQ31 PQM31 QAI31 QKE31 QUA31 RDW31 RNS31 RXO31 SHK31 SRG31 TBC31 TKY31 TUU31 UEQ31 UOM31 UYI31 VIE31 VSA31 WBW31 WLS31 WVO31 G65567 JC65567 SY65567 ACU65567 AMQ65567 AWM65567 BGI65567 BQE65567 CAA65567 CJW65567 CTS65567 DDO65567 DNK65567 DXG65567 EHC65567 EQY65567 FAU65567 FKQ65567 FUM65567 GEI65567 GOE65567 GYA65567 HHW65567 HRS65567 IBO65567 ILK65567 IVG65567 JFC65567 JOY65567 JYU65567 KIQ65567 KSM65567 LCI65567 LME65567 LWA65567 MFW65567 MPS65567 MZO65567 NJK65567 NTG65567 ODC65567 OMY65567 OWU65567 PGQ65567 PQM65567 QAI65567 QKE65567 QUA65567 RDW65567 RNS65567 RXO65567 SHK65567 SRG65567 TBC65567 TKY65567 TUU65567 UEQ65567 UOM65567 UYI65567 VIE65567 VSA65567 WBW65567 WLS65567 WVO65567 G131103 JC131103 SY131103 ACU131103 AMQ131103 AWM131103 BGI131103 BQE131103 CAA131103 CJW131103 CTS131103 DDO131103 DNK131103 DXG131103 EHC131103 EQY131103 FAU131103 FKQ131103 FUM131103 GEI131103 GOE131103 GYA131103 HHW131103 HRS131103 IBO131103 ILK131103 IVG131103 JFC131103 JOY131103 JYU131103 KIQ131103 KSM131103 LCI131103 LME131103 LWA131103 MFW131103 MPS131103 MZO131103 NJK131103 NTG131103 ODC131103 OMY131103 OWU131103 PGQ131103 PQM131103 QAI131103 QKE131103 QUA131103 RDW131103 RNS131103 RXO131103 SHK131103 SRG131103 TBC131103 TKY131103 TUU131103 UEQ131103 UOM131103 UYI131103 VIE131103 VSA131103 WBW131103 WLS131103 WVO131103 G196639 JC196639 SY196639 ACU196639 AMQ196639 AWM196639 BGI196639 BQE196639 CAA196639 CJW196639 CTS196639 DDO196639 DNK196639 DXG196639 EHC196639 EQY196639 FAU196639 FKQ196639 FUM196639 GEI196639 GOE196639 GYA196639 HHW196639 HRS196639 IBO196639 ILK196639 IVG196639 JFC196639 JOY196639 JYU196639 KIQ196639 KSM196639 LCI196639 LME196639 LWA196639 MFW196639 MPS196639 MZO196639 NJK196639 NTG196639 ODC196639 OMY196639 OWU196639 PGQ196639 PQM196639 QAI196639 QKE196639 QUA196639 RDW196639 RNS196639 RXO196639 SHK196639 SRG196639 TBC196639 TKY196639 TUU196639 UEQ196639 UOM196639 UYI196639 VIE196639 VSA196639 WBW196639 WLS196639 WVO196639 G262175 JC262175 SY262175 ACU262175 AMQ262175 AWM262175 BGI262175 BQE262175 CAA262175 CJW262175 CTS262175 DDO262175 DNK262175 DXG262175 EHC262175 EQY262175 FAU262175 FKQ262175 FUM262175 GEI262175 GOE262175 GYA262175 HHW262175 HRS262175 IBO262175 ILK262175 IVG262175 JFC262175 JOY262175 JYU262175 KIQ262175 KSM262175 LCI262175 LME262175 LWA262175 MFW262175 MPS262175 MZO262175 NJK262175 NTG262175 ODC262175 OMY262175 OWU262175 PGQ262175 PQM262175 QAI262175 QKE262175 QUA262175 RDW262175 RNS262175 RXO262175 SHK262175 SRG262175 TBC262175 TKY262175 TUU262175 UEQ262175 UOM262175 UYI262175 VIE262175 VSA262175 WBW262175 WLS262175 WVO262175 G327711 JC327711 SY327711 ACU327711 AMQ327711 AWM327711 BGI327711 BQE327711 CAA327711 CJW327711 CTS327711 DDO327711 DNK327711 DXG327711 EHC327711 EQY327711 FAU327711 FKQ327711 FUM327711 GEI327711 GOE327711 GYA327711 HHW327711 HRS327711 IBO327711 ILK327711 IVG327711 JFC327711 JOY327711 JYU327711 KIQ327711 KSM327711 LCI327711 LME327711 LWA327711 MFW327711 MPS327711 MZO327711 NJK327711 NTG327711 ODC327711 OMY327711 OWU327711 PGQ327711 PQM327711 QAI327711 QKE327711 QUA327711 RDW327711 RNS327711 RXO327711 SHK327711 SRG327711 TBC327711 TKY327711 TUU327711 UEQ327711 UOM327711 UYI327711 VIE327711 VSA327711 WBW327711 WLS327711 WVO327711 G393247 JC393247 SY393247 ACU393247 AMQ393247 AWM393247 BGI393247 BQE393247 CAA393247 CJW393247 CTS393247 DDO393247 DNK393247 DXG393247 EHC393247 EQY393247 FAU393247 FKQ393247 FUM393247 GEI393247 GOE393247 GYA393247 HHW393247 HRS393247 IBO393247 ILK393247 IVG393247 JFC393247 JOY393247 JYU393247 KIQ393247 KSM393247 LCI393247 LME393247 LWA393247 MFW393247 MPS393247 MZO393247 NJK393247 NTG393247 ODC393247 OMY393247 OWU393247 PGQ393247 PQM393247 QAI393247 QKE393247 QUA393247 RDW393247 RNS393247 RXO393247 SHK393247 SRG393247 TBC393247 TKY393247 TUU393247 UEQ393247 UOM393247 UYI393247 VIE393247 VSA393247 WBW393247 WLS393247 WVO393247 G458783 JC458783 SY458783 ACU458783 AMQ458783 AWM458783 BGI458783 BQE458783 CAA458783 CJW458783 CTS458783 DDO458783 DNK458783 DXG458783 EHC458783 EQY458783 FAU458783 FKQ458783 FUM458783 GEI458783 GOE458783 GYA458783 HHW458783 HRS458783 IBO458783 ILK458783 IVG458783 JFC458783 JOY458783 JYU458783 KIQ458783 KSM458783 LCI458783 LME458783 LWA458783 MFW458783 MPS458783 MZO458783 NJK458783 NTG458783 ODC458783 OMY458783 OWU458783 PGQ458783 PQM458783 QAI458783 QKE458783 QUA458783 RDW458783 RNS458783 RXO458783 SHK458783 SRG458783 TBC458783 TKY458783 TUU458783 UEQ458783 UOM458783 UYI458783 VIE458783 VSA458783 WBW458783 WLS458783 WVO458783 G524319 JC524319 SY524319 ACU524319 AMQ524319 AWM524319 BGI524319 BQE524319 CAA524319 CJW524319 CTS524319 DDO524319 DNK524319 DXG524319 EHC524319 EQY524319 FAU524319 FKQ524319 FUM524319 GEI524319 GOE524319 GYA524319 HHW524319 HRS524319 IBO524319 ILK524319 IVG524319 JFC524319 JOY524319 JYU524319 KIQ524319 KSM524319 LCI524319 LME524319 LWA524319 MFW524319 MPS524319 MZO524319 NJK524319 NTG524319 ODC524319 OMY524319 OWU524319 PGQ524319 PQM524319 QAI524319 QKE524319 QUA524319 RDW524319 RNS524319 RXO524319 SHK524319 SRG524319 TBC524319 TKY524319 TUU524319 UEQ524319 UOM524319 UYI524319 VIE524319 VSA524319 WBW524319 WLS524319 WVO524319 G589855 JC589855 SY589855 ACU589855 AMQ589855 AWM589855 BGI589855 BQE589855 CAA589855 CJW589855 CTS589855 DDO589855 DNK589855 DXG589855 EHC589855 EQY589855 FAU589855 FKQ589855 FUM589855 GEI589855 GOE589855 GYA589855 HHW589855 HRS589855 IBO589855 ILK589855 IVG589855 JFC589855 JOY589855 JYU589855 KIQ589855 KSM589855 LCI589855 LME589855 LWA589855 MFW589855 MPS589855 MZO589855 NJK589855 NTG589855 ODC589855 OMY589855 OWU589855 PGQ589855 PQM589855 QAI589855 QKE589855 QUA589855 RDW589855 RNS589855 RXO589855 SHK589855 SRG589855 TBC589855 TKY589855 TUU589855 UEQ589855 UOM589855 UYI589855 VIE589855 VSA589855 WBW589855 WLS589855 WVO589855 G655391 JC655391 SY655391 ACU655391 AMQ655391 AWM655391 BGI655391 BQE655391 CAA655391 CJW655391 CTS655391 DDO655391 DNK655391 DXG655391 EHC655391 EQY655391 FAU655391 FKQ655391 FUM655391 GEI655391 GOE655391 GYA655391 HHW655391 HRS655391 IBO655391 ILK655391 IVG655391 JFC655391 JOY655391 JYU655391 KIQ655391 KSM655391 LCI655391 LME655391 LWA655391 MFW655391 MPS655391 MZO655391 NJK655391 NTG655391 ODC655391 OMY655391 OWU655391 PGQ655391 PQM655391 QAI655391 QKE655391 QUA655391 RDW655391 RNS655391 RXO655391 SHK655391 SRG655391 TBC655391 TKY655391 TUU655391 UEQ655391 UOM655391 UYI655391 VIE655391 VSA655391 WBW655391 WLS655391 WVO655391 G720927 JC720927 SY720927 ACU720927 AMQ720927 AWM720927 BGI720927 BQE720927 CAA720927 CJW720927 CTS720927 DDO720927 DNK720927 DXG720927 EHC720927 EQY720927 FAU720927 FKQ720927 FUM720927 GEI720927 GOE720927 GYA720927 HHW720927 HRS720927 IBO720927 ILK720927 IVG720927 JFC720927 JOY720927 JYU720927 KIQ720927 KSM720927 LCI720927 LME720927 LWA720927 MFW720927 MPS720927 MZO720927 NJK720927 NTG720927 ODC720927 OMY720927 OWU720927 PGQ720927 PQM720927 QAI720927 QKE720927 QUA720927 RDW720927 RNS720927 RXO720927 SHK720927 SRG720927 TBC720927 TKY720927 TUU720927 UEQ720927 UOM720927 UYI720927 VIE720927 VSA720927 WBW720927 WLS720927 WVO720927 G786463 JC786463 SY786463 ACU786463 AMQ786463 AWM786463 BGI786463 BQE786463 CAA786463 CJW786463 CTS786463 DDO786463 DNK786463 DXG786463 EHC786463 EQY786463 FAU786463 FKQ786463 FUM786463 GEI786463 GOE786463 GYA786463 HHW786463 HRS786463 IBO786463 ILK786463 IVG786463 JFC786463 JOY786463 JYU786463 KIQ786463 KSM786463 LCI786463 LME786463 LWA786463 MFW786463 MPS786463 MZO786463 NJK786463 NTG786463 ODC786463 OMY786463 OWU786463 PGQ786463 PQM786463 QAI786463 QKE786463 QUA786463 RDW786463 RNS786463 RXO786463 SHK786463 SRG786463 TBC786463 TKY786463 TUU786463 UEQ786463 UOM786463 UYI786463 VIE786463 VSA786463 WBW786463 WLS786463 WVO786463 G851999 JC851999 SY851999 ACU851999 AMQ851999 AWM851999 BGI851999 BQE851999 CAA851999 CJW851999 CTS851999 DDO851999 DNK851999 DXG851999 EHC851999 EQY851999 FAU851999 FKQ851999 FUM851999 GEI851999 GOE851999 GYA851999 HHW851999 HRS851999 IBO851999 ILK851999 IVG851999 JFC851999 JOY851999 JYU851999 KIQ851999 KSM851999 LCI851999 LME851999 LWA851999 MFW851999 MPS851999 MZO851999 NJK851999 NTG851999 ODC851999 OMY851999 OWU851999 PGQ851999 PQM851999 QAI851999 QKE851999 QUA851999 RDW851999 RNS851999 RXO851999 SHK851999 SRG851999 TBC851999 TKY851999 TUU851999 UEQ851999 UOM851999 UYI851999 VIE851999 VSA851999 WBW851999 WLS851999 WVO851999 G917535 JC917535 SY917535 ACU917535 AMQ917535 AWM917535 BGI917535 BQE917535 CAA917535 CJW917535 CTS917535 DDO917535 DNK917535 DXG917535 EHC917535 EQY917535 FAU917535 FKQ917535 FUM917535 GEI917535 GOE917535 GYA917535 HHW917535 HRS917535 IBO917535 ILK917535 IVG917535 JFC917535 JOY917535 JYU917535 KIQ917535 KSM917535 LCI917535 LME917535 LWA917535 MFW917535 MPS917535 MZO917535 NJK917535 NTG917535 ODC917535 OMY917535 OWU917535 PGQ917535 PQM917535 QAI917535 QKE917535 QUA917535 RDW917535 RNS917535 RXO917535 SHK917535 SRG917535 TBC917535 TKY917535 TUU917535 UEQ917535 UOM917535 UYI917535 VIE917535 VSA917535 WBW917535 WLS917535 WVO917535 G983071 JC983071 SY983071 ACU983071 AMQ983071 AWM983071 BGI983071 BQE983071 CAA983071 CJW983071 CTS983071 DDO983071 DNK983071 DXG983071 EHC983071 EQY983071 FAU983071 FKQ983071 FUM983071 GEI983071 GOE983071 GYA983071 HHW983071 HRS983071 IBO983071 ILK983071 IVG983071 JFC983071 JOY983071 JYU983071 KIQ983071 KSM983071 LCI983071 LME983071 LWA983071 MFW983071 MPS983071 MZO983071 NJK983071 NTG983071 ODC983071 OMY983071 OWU983071 PGQ983071 PQM983071 QAI983071 QKE983071 QUA983071 RDW983071 RNS983071 RXO983071 SHK983071 SRG983071 TBC983071 TKY983071 TUU983071 UEQ983071 UOM983071 UYI983071 VIE983071 VSA983071 WBW983071 WLS983071 WVO983071 G33 JC33 SY33 ACU33 AMQ33 AWM33 BGI33 BQE33 CAA33 CJW33 CTS33 DDO33 DNK33 DXG33 EHC33 EQY33 FAU33 FKQ33 FUM33 GEI33 GOE33 GYA33 HHW33 HRS33 IBO33 ILK33 IVG33 JFC33 JOY33 JYU33 KIQ33 KSM33 LCI33 LME33 LWA33 MFW33 MPS33 MZO33 NJK33 NTG33 ODC33 OMY33 OWU33 PGQ33 PQM33 QAI33 QKE33 QUA33 RDW33 RNS33 RXO33 SHK33 SRG33 TBC33 TKY33 TUU33 UEQ33 UOM33 UYI33 VIE33 VSA33 WBW33 WLS33 WVO33 G65569 JC65569 SY65569 ACU65569 AMQ65569 AWM65569 BGI65569 BQE65569 CAA65569 CJW65569 CTS65569 DDO65569 DNK65569 DXG65569 EHC65569 EQY65569 FAU65569 FKQ65569 FUM65569 GEI65569 GOE65569 GYA65569 HHW65569 HRS65569 IBO65569 ILK65569 IVG65569 JFC65569 JOY65569 JYU65569 KIQ65569 KSM65569 LCI65569 LME65569 LWA65569 MFW65569 MPS65569 MZO65569 NJK65569 NTG65569 ODC65569 OMY65569 OWU65569 PGQ65569 PQM65569 QAI65569 QKE65569 QUA65569 RDW65569 RNS65569 RXO65569 SHK65569 SRG65569 TBC65569 TKY65569 TUU65569 UEQ65569 UOM65569 UYI65569 VIE65569 VSA65569 WBW65569 WLS65569 WVO65569 G131105 JC131105 SY131105 ACU131105 AMQ131105 AWM131105 BGI131105 BQE131105 CAA131105 CJW131105 CTS131105 DDO131105 DNK131105 DXG131105 EHC131105 EQY131105 FAU131105 FKQ131105 FUM131105 GEI131105 GOE131105 GYA131105 HHW131105 HRS131105 IBO131105 ILK131105 IVG131105 JFC131105 JOY131105 JYU131105 KIQ131105 KSM131105 LCI131105 LME131105 LWA131105 MFW131105 MPS131105 MZO131105 NJK131105 NTG131105 ODC131105 OMY131105 OWU131105 PGQ131105 PQM131105 QAI131105 QKE131105 QUA131105 RDW131105 RNS131105 RXO131105 SHK131105 SRG131105 TBC131105 TKY131105 TUU131105 UEQ131105 UOM131105 UYI131105 VIE131105 VSA131105 WBW131105 WLS131105 WVO131105 G196641 JC196641 SY196641 ACU196641 AMQ196641 AWM196641 BGI196641 BQE196641 CAA196641 CJW196641 CTS196641 DDO196641 DNK196641 DXG196641 EHC196641 EQY196641 FAU196641 FKQ196641 FUM196641 GEI196641 GOE196641 GYA196641 HHW196641 HRS196641 IBO196641 ILK196641 IVG196641 JFC196641 JOY196641 JYU196641 KIQ196641 KSM196641 LCI196641 LME196641 LWA196641 MFW196641 MPS196641 MZO196641 NJK196641 NTG196641 ODC196641 OMY196641 OWU196641 PGQ196641 PQM196641 QAI196641 QKE196641 QUA196641 RDW196641 RNS196641 RXO196641 SHK196641 SRG196641 TBC196641 TKY196641 TUU196641 UEQ196641 UOM196641 UYI196641 VIE196641 VSA196641 WBW196641 WLS196641 WVO196641 G262177 JC262177 SY262177 ACU262177 AMQ262177 AWM262177 BGI262177 BQE262177 CAA262177 CJW262177 CTS262177 DDO262177 DNK262177 DXG262177 EHC262177 EQY262177 FAU262177 FKQ262177 FUM262177 GEI262177 GOE262177 GYA262177 HHW262177 HRS262177 IBO262177 ILK262177 IVG262177 JFC262177 JOY262177 JYU262177 KIQ262177 KSM262177 LCI262177 LME262177 LWA262177 MFW262177 MPS262177 MZO262177 NJK262177 NTG262177 ODC262177 OMY262177 OWU262177 PGQ262177 PQM262177 QAI262177 QKE262177 QUA262177 RDW262177 RNS262177 RXO262177 SHK262177 SRG262177 TBC262177 TKY262177 TUU262177 UEQ262177 UOM262177 UYI262177 VIE262177 VSA262177 WBW262177 WLS262177 WVO262177 G327713 JC327713 SY327713 ACU327713 AMQ327713 AWM327713 BGI327713 BQE327713 CAA327713 CJW327713 CTS327713 DDO327713 DNK327713 DXG327713 EHC327713 EQY327713 FAU327713 FKQ327713 FUM327713 GEI327713 GOE327713 GYA327713 HHW327713 HRS327713 IBO327713 ILK327713 IVG327713 JFC327713 JOY327713 JYU327713 KIQ327713 KSM327713 LCI327713 LME327713 LWA327713 MFW327713 MPS327713 MZO327713 NJK327713 NTG327713 ODC327713 OMY327713 OWU327713 PGQ327713 PQM327713 QAI327713 QKE327713 QUA327713 RDW327713 RNS327713 RXO327713 SHK327713 SRG327713 TBC327713 TKY327713 TUU327713 UEQ327713 UOM327713 UYI327713 VIE327713 VSA327713 WBW327713 WLS327713 WVO327713 G393249 JC393249 SY393249 ACU393249 AMQ393249 AWM393249 BGI393249 BQE393249 CAA393249 CJW393249 CTS393249 DDO393249 DNK393249 DXG393249 EHC393249 EQY393249 FAU393249 FKQ393249 FUM393249 GEI393249 GOE393249 GYA393249 HHW393249 HRS393249 IBO393249 ILK393249 IVG393249 JFC393249 JOY393249 JYU393249 KIQ393249 KSM393249 LCI393249 LME393249 LWA393249 MFW393249 MPS393249 MZO393249 NJK393249 NTG393249 ODC393249 OMY393249 OWU393249 PGQ393249 PQM393249 QAI393249 QKE393249 QUA393249 RDW393249 RNS393249 RXO393249 SHK393249 SRG393249 TBC393249 TKY393249 TUU393249 UEQ393249 UOM393249 UYI393249 VIE393249 VSA393249 WBW393249 WLS393249 WVO393249 G458785 JC458785 SY458785 ACU458785 AMQ458785 AWM458785 BGI458785 BQE458785 CAA458785 CJW458785 CTS458785 DDO458785 DNK458785 DXG458785 EHC458785 EQY458785 FAU458785 FKQ458785 FUM458785 GEI458785 GOE458785 GYA458785 HHW458785 HRS458785 IBO458785 ILK458785 IVG458785 JFC458785 JOY458785 JYU458785 KIQ458785 KSM458785 LCI458785 LME458785 LWA458785 MFW458785 MPS458785 MZO458785 NJK458785 NTG458785 ODC458785 OMY458785 OWU458785 PGQ458785 PQM458785 QAI458785 QKE458785 QUA458785 RDW458785 RNS458785 RXO458785 SHK458785 SRG458785 TBC458785 TKY458785 TUU458785 UEQ458785 UOM458785 UYI458785 VIE458785 VSA458785 WBW458785 WLS458785 WVO458785 G524321 JC524321 SY524321 ACU524321 AMQ524321 AWM524321 BGI524321 BQE524321 CAA524321 CJW524321 CTS524321 DDO524321 DNK524321 DXG524321 EHC524321 EQY524321 FAU524321 FKQ524321 FUM524321 GEI524321 GOE524321 GYA524321 HHW524321 HRS524321 IBO524321 ILK524321 IVG524321 JFC524321 JOY524321 JYU524321 KIQ524321 KSM524321 LCI524321 LME524321 LWA524321 MFW524321 MPS524321 MZO524321 NJK524321 NTG524321 ODC524321 OMY524321 OWU524321 PGQ524321 PQM524321 QAI524321 QKE524321 QUA524321 RDW524321 RNS524321 RXO524321 SHK524321 SRG524321 TBC524321 TKY524321 TUU524321 UEQ524321 UOM524321 UYI524321 VIE524321 VSA524321 WBW524321 WLS524321 WVO524321 G589857 JC589857 SY589857 ACU589857 AMQ589857 AWM589857 BGI589857 BQE589857 CAA589857 CJW589857 CTS589857 DDO589857 DNK589857 DXG589857 EHC589857 EQY589857 FAU589857 FKQ589857 FUM589857 GEI589857 GOE589857 GYA589857 HHW589857 HRS589857 IBO589857 ILK589857 IVG589857 JFC589857 JOY589857 JYU589857 KIQ589857 KSM589857 LCI589857 LME589857 LWA589857 MFW589857 MPS589857 MZO589857 NJK589857 NTG589857 ODC589857 OMY589857 OWU589857 PGQ589857 PQM589857 QAI589857 QKE589857 QUA589857 RDW589857 RNS589857 RXO589857 SHK589857 SRG589857 TBC589857 TKY589857 TUU589857 UEQ589857 UOM589857 UYI589857 VIE589857 VSA589857 WBW589857 WLS589857 WVO589857 G655393 JC655393 SY655393 ACU655393 AMQ655393 AWM655393 BGI655393 BQE655393 CAA655393 CJW655393 CTS655393 DDO655393 DNK655393 DXG655393 EHC655393 EQY655393 FAU655393 FKQ655393 FUM655393 GEI655393 GOE655393 GYA655393 HHW655393 HRS655393 IBO655393 ILK655393 IVG655393 JFC655393 JOY655393 JYU655393 KIQ655393 KSM655393 LCI655393 LME655393 LWA655393 MFW655393 MPS655393 MZO655393 NJK655393 NTG655393 ODC655393 OMY655393 OWU655393 PGQ655393 PQM655393 QAI655393 QKE655393 QUA655393 RDW655393 RNS655393 RXO655393 SHK655393 SRG655393 TBC655393 TKY655393 TUU655393 UEQ655393 UOM655393 UYI655393 VIE655393 VSA655393 WBW655393 WLS655393 WVO655393 G720929 JC720929 SY720929 ACU720929 AMQ720929 AWM720929 BGI720929 BQE720929 CAA720929 CJW720929 CTS720929 DDO720929 DNK720929 DXG720929 EHC720929 EQY720929 FAU720929 FKQ720929 FUM720929 GEI720929 GOE720929 GYA720929 HHW720929 HRS720929 IBO720929 ILK720929 IVG720929 JFC720929 JOY720929 JYU720929 KIQ720929 KSM720929 LCI720929 LME720929 LWA720929 MFW720929 MPS720929 MZO720929 NJK720929 NTG720929 ODC720929 OMY720929 OWU720929 PGQ720929 PQM720929 QAI720929 QKE720929 QUA720929 RDW720929 RNS720929 RXO720929 SHK720929 SRG720929 TBC720929 TKY720929 TUU720929 UEQ720929 UOM720929 UYI720929 VIE720929 VSA720929 WBW720929 WLS720929 WVO720929 G786465 JC786465 SY786465 ACU786465 AMQ786465 AWM786465 BGI786465 BQE786465 CAA786465 CJW786465 CTS786465 DDO786465 DNK786465 DXG786465 EHC786465 EQY786465 FAU786465 FKQ786465 FUM786465 GEI786465 GOE786465 GYA786465 HHW786465 HRS786465 IBO786465 ILK786465 IVG786465 JFC786465 JOY786465 JYU786465 KIQ786465 KSM786465 LCI786465 LME786465 LWA786465 MFW786465 MPS786465 MZO786465 NJK786465 NTG786465 ODC786465 OMY786465 OWU786465 PGQ786465 PQM786465 QAI786465 QKE786465 QUA786465 RDW786465 RNS786465 RXO786465 SHK786465 SRG786465 TBC786465 TKY786465 TUU786465 UEQ786465 UOM786465 UYI786465 VIE786465 VSA786465 WBW786465 WLS786465 WVO786465 G852001 JC852001 SY852001 ACU852001 AMQ852001 AWM852001 BGI852001 BQE852001 CAA852001 CJW852001 CTS852001 DDO852001 DNK852001 DXG852001 EHC852001 EQY852001 FAU852001 FKQ852001 FUM852001 GEI852001 GOE852001 GYA852001 HHW852001 HRS852001 IBO852001 ILK852001 IVG852001 JFC852001 JOY852001 JYU852001 KIQ852001 KSM852001 LCI852001 LME852001 LWA852001 MFW852001 MPS852001 MZO852001 NJK852001 NTG852001 ODC852001 OMY852001 OWU852001 PGQ852001 PQM852001 QAI852001 QKE852001 QUA852001 RDW852001 RNS852001 RXO852001 SHK852001 SRG852001 TBC852001 TKY852001 TUU852001 UEQ852001 UOM852001 UYI852001 VIE852001 VSA852001 WBW852001 WLS852001 WVO852001 G917537 JC917537 SY917537 ACU917537 AMQ917537 AWM917537 BGI917537 BQE917537 CAA917537 CJW917537 CTS917537 DDO917537 DNK917537 DXG917537 EHC917537 EQY917537 FAU917537 FKQ917537 FUM917537 GEI917537 GOE917537 GYA917537 HHW917537 HRS917537 IBO917537 ILK917537 IVG917537 JFC917537 JOY917537 JYU917537 KIQ917537 KSM917537 LCI917537 LME917537 LWA917537 MFW917537 MPS917537 MZO917537 NJK917537 NTG917537 ODC917537 OMY917537 OWU917537 PGQ917537 PQM917537 QAI917537 QKE917537 QUA917537 RDW917537 RNS917537 RXO917537 SHK917537 SRG917537 TBC917537 TKY917537 TUU917537 UEQ917537 UOM917537 UYI917537 VIE917537 VSA917537 WBW917537 WLS917537 WVO917537 G983073 JC983073 SY983073 ACU983073 AMQ983073 AWM983073 BGI983073 BQE983073 CAA983073 CJW983073 CTS983073 DDO983073 DNK983073 DXG983073 EHC983073 EQY983073 FAU983073 FKQ983073 FUM983073 GEI983073 GOE983073 GYA983073 HHW983073 HRS983073 IBO983073 ILK983073 IVG983073 JFC983073 JOY983073 JYU983073 KIQ983073 KSM983073 LCI983073 LME983073 LWA983073 MFW983073 MPS983073 MZO983073 NJK983073 NTG983073 ODC983073 OMY983073 OWU983073 PGQ983073 PQM983073 QAI983073 QKE983073 QUA983073 RDW983073 RNS983073 RXO983073 SHK983073 SRG983073 TBC983073 TKY983073 TUU983073 UEQ983073 UOM983073 UYI983073 VIE983073 VSA983073 WBW983073 WLS983073 WVO983073 G39:G40 JC39:JC40 SY39:SY40 ACU39:ACU40 AMQ39:AMQ40 AWM39:AWM40 BGI39:BGI40 BQE39:BQE40 CAA39:CAA40 CJW39:CJW40 CTS39:CTS40 DDO39:DDO40 DNK39:DNK40 DXG39:DXG40 EHC39:EHC40 EQY39:EQY40 FAU39:FAU40 FKQ39:FKQ40 FUM39:FUM40 GEI39:GEI40 GOE39:GOE40 GYA39:GYA40 HHW39:HHW40 HRS39:HRS40 IBO39:IBO40 ILK39:ILK40 IVG39:IVG40 JFC39:JFC40 JOY39:JOY40 JYU39:JYU40 KIQ39:KIQ40 KSM39:KSM40 LCI39:LCI40 LME39:LME40 LWA39:LWA40 MFW39:MFW40 MPS39:MPS40 MZO39:MZO40 NJK39:NJK40 NTG39:NTG40 ODC39:ODC40 OMY39:OMY40 OWU39:OWU40 PGQ39:PGQ40 PQM39:PQM40 QAI39:QAI40 QKE39:QKE40 QUA39:QUA40 RDW39:RDW40 RNS39:RNS40 RXO39:RXO40 SHK39:SHK40 SRG39:SRG40 TBC39:TBC40 TKY39:TKY40 TUU39:TUU40 UEQ39:UEQ40 UOM39:UOM40 UYI39:UYI40 VIE39:VIE40 VSA39:VSA40 WBW39:WBW40 WLS39:WLS40 WVO39:WVO40 G65575:G65576 JC65575:JC65576 SY65575:SY65576 ACU65575:ACU65576 AMQ65575:AMQ65576 AWM65575:AWM65576 BGI65575:BGI65576 BQE65575:BQE65576 CAA65575:CAA65576 CJW65575:CJW65576 CTS65575:CTS65576 DDO65575:DDO65576 DNK65575:DNK65576 DXG65575:DXG65576 EHC65575:EHC65576 EQY65575:EQY65576 FAU65575:FAU65576 FKQ65575:FKQ65576 FUM65575:FUM65576 GEI65575:GEI65576 GOE65575:GOE65576 GYA65575:GYA65576 HHW65575:HHW65576 HRS65575:HRS65576 IBO65575:IBO65576 ILK65575:ILK65576 IVG65575:IVG65576 JFC65575:JFC65576 JOY65575:JOY65576 JYU65575:JYU65576 KIQ65575:KIQ65576 KSM65575:KSM65576 LCI65575:LCI65576 LME65575:LME65576 LWA65575:LWA65576 MFW65575:MFW65576 MPS65575:MPS65576 MZO65575:MZO65576 NJK65575:NJK65576 NTG65575:NTG65576 ODC65575:ODC65576 OMY65575:OMY65576 OWU65575:OWU65576 PGQ65575:PGQ65576 PQM65575:PQM65576 QAI65575:QAI65576 QKE65575:QKE65576 QUA65575:QUA65576 RDW65575:RDW65576 RNS65575:RNS65576 RXO65575:RXO65576 SHK65575:SHK65576 SRG65575:SRG65576 TBC65575:TBC65576 TKY65575:TKY65576 TUU65575:TUU65576 UEQ65575:UEQ65576 UOM65575:UOM65576 UYI65575:UYI65576 VIE65575:VIE65576 VSA65575:VSA65576 WBW65575:WBW65576 WLS65575:WLS65576 WVO65575:WVO65576 G131111:G131112 JC131111:JC131112 SY131111:SY131112 ACU131111:ACU131112 AMQ131111:AMQ131112 AWM131111:AWM131112 BGI131111:BGI131112 BQE131111:BQE131112 CAA131111:CAA131112 CJW131111:CJW131112 CTS131111:CTS131112 DDO131111:DDO131112 DNK131111:DNK131112 DXG131111:DXG131112 EHC131111:EHC131112 EQY131111:EQY131112 FAU131111:FAU131112 FKQ131111:FKQ131112 FUM131111:FUM131112 GEI131111:GEI131112 GOE131111:GOE131112 GYA131111:GYA131112 HHW131111:HHW131112 HRS131111:HRS131112 IBO131111:IBO131112 ILK131111:ILK131112 IVG131111:IVG131112 JFC131111:JFC131112 JOY131111:JOY131112 JYU131111:JYU131112 KIQ131111:KIQ131112 KSM131111:KSM131112 LCI131111:LCI131112 LME131111:LME131112 LWA131111:LWA131112 MFW131111:MFW131112 MPS131111:MPS131112 MZO131111:MZO131112 NJK131111:NJK131112 NTG131111:NTG131112 ODC131111:ODC131112 OMY131111:OMY131112 OWU131111:OWU131112 PGQ131111:PGQ131112 PQM131111:PQM131112 QAI131111:QAI131112 QKE131111:QKE131112 QUA131111:QUA131112 RDW131111:RDW131112 RNS131111:RNS131112 RXO131111:RXO131112 SHK131111:SHK131112 SRG131111:SRG131112 TBC131111:TBC131112 TKY131111:TKY131112 TUU131111:TUU131112 UEQ131111:UEQ131112 UOM131111:UOM131112 UYI131111:UYI131112 VIE131111:VIE131112 VSA131111:VSA131112 WBW131111:WBW131112 WLS131111:WLS131112 WVO131111:WVO131112 G196647:G196648 JC196647:JC196648 SY196647:SY196648 ACU196647:ACU196648 AMQ196647:AMQ196648 AWM196647:AWM196648 BGI196647:BGI196648 BQE196647:BQE196648 CAA196647:CAA196648 CJW196647:CJW196648 CTS196647:CTS196648 DDO196647:DDO196648 DNK196647:DNK196648 DXG196647:DXG196648 EHC196647:EHC196648 EQY196647:EQY196648 FAU196647:FAU196648 FKQ196647:FKQ196648 FUM196647:FUM196648 GEI196647:GEI196648 GOE196647:GOE196648 GYA196647:GYA196648 HHW196647:HHW196648 HRS196647:HRS196648 IBO196647:IBO196648 ILK196647:ILK196648 IVG196647:IVG196648 JFC196647:JFC196648 JOY196647:JOY196648 JYU196647:JYU196648 KIQ196647:KIQ196648 KSM196647:KSM196648 LCI196647:LCI196648 LME196647:LME196648 LWA196647:LWA196648 MFW196647:MFW196648 MPS196647:MPS196648 MZO196647:MZO196648 NJK196647:NJK196648 NTG196647:NTG196648 ODC196647:ODC196648 OMY196647:OMY196648 OWU196647:OWU196648 PGQ196647:PGQ196648 PQM196647:PQM196648 QAI196647:QAI196648 QKE196647:QKE196648 QUA196647:QUA196648 RDW196647:RDW196648 RNS196647:RNS196648 RXO196647:RXO196648 SHK196647:SHK196648 SRG196647:SRG196648 TBC196647:TBC196648 TKY196647:TKY196648 TUU196647:TUU196648 UEQ196647:UEQ196648 UOM196647:UOM196648 UYI196647:UYI196648 VIE196647:VIE196648 VSA196647:VSA196648 WBW196647:WBW196648 WLS196647:WLS196648 WVO196647:WVO196648 G262183:G262184 JC262183:JC262184 SY262183:SY262184 ACU262183:ACU262184 AMQ262183:AMQ262184 AWM262183:AWM262184 BGI262183:BGI262184 BQE262183:BQE262184 CAA262183:CAA262184 CJW262183:CJW262184 CTS262183:CTS262184 DDO262183:DDO262184 DNK262183:DNK262184 DXG262183:DXG262184 EHC262183:EHC262184 EQY262183:EQY262184 FAU262183:FAU262184 FKQ262183:FKQ262184 FUM262183:FUM262184 GEI262183:GEI262184 GOE262183:GOE262184 GYA262183:GYA262184 HHW262183:HHW262184 HRS262183:HRS262184 IBO262183:IBO262184 ILK262183:ILK262184 IVG262183:IVG262184 JFC262183:JFC262184 JOY262183:JOY262184 JYU262183:JYU262184 KIQ262183:KIQ262184 KSM262183:KSM262184 LCI262183:LCI262184 LME262183:LME262184 LWA262183:LWA262184 MFW262183:MFW262184 MPS262183:MPS262184 MZO262183:MZO262184 NJK262183:NJK262184 NTG262183:NTG262184 ODC262183:ODC262184 OMY262183:OMY262184 OWU262183:OWU262184 PGQ262183:PGQ262184 PQM262183:PQM262184 QAI262183:QAI262184 QKE262183:QKE262184 QUA262183:QUA262184 RDW262183:RDW262184 RNS262183:RNS262184 RXO262183:RXO262184 SHK262183:SHK262184 SRG262183:SRG262184 TBC262183:TBC262184 TKY262183:TKY262184 TUU262183:TUU262184 UEQ262183:UEQ262184 UOM262183:UOM262184 UYI262183:UYI262184 VIE262183:VIE262184 VSA262183:VSA262184 WBW262183:WBW262184 WLS262183:WLS262184 WVO262183:WVO262184 G327719:G327720 JC327719:JC327720 SY327719:SY327720 ACU327719:ACU327720 AMQ327719:AMQ327720 AWM327719:AWM327720 BGI327719:BGI327720 BQE327719:BQE327720 CAA327719:CAA327720 CJW327719:CJW327720 CTS327719:CTS327720 DDO327719:DDO327720 DNK327719:DNK327720 DXG327719:DXG327720 EHC327719:EHC327720 EQY327719:EQY327720 FAU327719:FAU327720 FKQ327719:FKQ327720 FUM327719:FUM327720 GEI327719:GEI327720 GOE327719:GOE327720 GYA327719:GYA327720 HHW327719:HHW327720 HRS327719:HRS327720 IBO327719:IBO327720 ILK327719:ILK327720 IVG327719:IVG327720 JFC327719:JFC327720 JOY327719:JOY327720 JYU327719:JYU327720 KIQ327719:KIQ327720 KSM327719:KSM327720 LCI327719:LCI327720 LME327719:LME327720 LWA327719:LWA327720 MFW327719:MFW327720 MPS327719:MPS327720 MZO327719:MZO327720 NJK327719:NJK327720 NTG327719:NTG327720 ODC327719:ODC327720 OMY327719:OMY327720 OWU327719:OWU327720 PGQ327719:PGQ327720 PQM327719:PQM327720 QAI327719:QAI327720 QKE327719:QKE327720 QUA327719:QUA327720 RDW327719:RDW327720 RNS327719:RNS327720 RXO327719:RXO327720 SHK327719:SHK327720 SRG327719:SRG327720 TBC327719:TBC327720 TKY327719:TKY327720 TUU327719:TUU327720 UEQ327719:UEQ327720 UOM327719:UOM327720 UYI327719:UYI327720 VIE327719:VIE327720 VSA327719:VSA327720 WBW327719:WBW327720 WLS327719:WLS327720 WVO327719:WVO327720 G393255:G393256 JC393255:JC393256 SY393255:SY393256 ACU393255:ACU393256 AMQ393255:AMQ393256 AWM393255:AWM393256 BGI393255:BGI393256 BQE393255:BQE393256 CAA393255:CAA393256 CJW393255:CJW393256 CTS393255:CTS393256 DDO393255:DDO393256 DNK393255:DNK393256 DXG393255:DXG393256 EHC393255:EHC393256 EQY393255:EQY393256 FAU393255:FAU393256 FKQ393255:FKQ393256 FUM393255:FUM393256 GEI393255:GEI393256 GOE393255:GOE393256 GYA393255:GYA393256 HHW393255:HHW393256 HRS393255:HRS393256 IBO393255:IBO393256 ILK393255:ILK393256 IVG393255:IVG393256 JFC393255:JFC393256 JOY393255:JOY393256 JYU393255:JYU393256 KIQ393255:KIQ393256 KSM393255:KSM393256 LCI393255:LCI393256 LME393255:LME393256 LWA393255:LWA393256 MFW393255:MFW393256 MPS393255:MPS393256 MZO393255:MZO393256 NJK393255:NJK393256 NTG393255:NTG393256 ODC393255:ODC393256 OMY393255:OMY393256 OWU393255:OWU393256 PGQ393255:PGQ393256 PQM393255:PQM393256 QAI393255:QAI393256 QKE393255:QKE393256 QUA393255:QUA393256 RDW393255:RDW393256 RNS393255:RNS393256 RXO393255:RXO393256 SHK393255:SHK393256 SRG393255:SRG393256 TBC393255:TBC393256 TKY393255:TKY393256 TUU393255:TUU393256 UEQ393255:UEQ393256 UOM393255:UOM393256 UYI393255:UYI393256 VIE393255:VIE393256 VSA393255:VSA393256 WBW393255:WBW393256 WLS393255:WLS393256 WVO393255:WVO393256 G458791:G458792 JC458791:JC458792 SY458791:SY458792 ACU458791:ACU458792 AMQ458791:AMQ458792 AWM458791:AWM458792 BGI458791:BGI458792 BQE458791:BQE458792 CAA458791:CAA458792 CJW458791:CJW458792 CTS458791:CTS458792 DDO458791:DDO458792 DNK458791:DNK458792 DXG458791:DXG458792 EHC458791:EHC458792 EQY458791:EQY458792 FAU458791:FAU458792 FKQ458791:FKQ458792 FUM458791:FUM458792 GEI458791:GEI458792 GOE458791:GOE458792 GYA458791:GYA458792 HHW458791:HHW458792 HRS458791:HRS458792 IBO458791:IBO458792 ILK458791:ILK458792 IVG458791:IVG458792 JFC458791:JFC458792 JOY458791:JOY458792 JYU458791:JYU458792 KIQ458791:KIQ458792 KSM458791:KSM458792 LCI458791:LCI458792 LME458791:LME458792 LWA458791:LWA458792 MFW458791:MFW458792 MPS458791:MPS458792 MZO458791:MZO458792 NJK458791:NJK458792 NTG458791:NTG458792 ODC458791:ODC458792 OMY458791:OMY458792 OWU458791:OWU458792 PGQ458791:PGQ458792 PQM458791:PQM458792 QAI458791:QAI458792 QKE458791:QKE458792 QUA458791:QUA458792 RDW458791:RDW458792 RNS458791:RNS458792 RXO458791:RXO458792 SHK458791:SHK458792 SRG458791:SRG458792 TBC458791:TBC458792 TKY458791:TKY458792 TUU458791:TUU458792 UEQ458791:UEQ458792 UOM458791:UOM458792 UYI458791:UYI458792 VIE458791:VIE458792 VSA458791:VSA458792 WBW458791:WBW458792 WLS458791:WLS458792 WVO458791:WVO458792 G524327:G524328 JC524327:JC524328 SY524327:SY524328 ACU524327:ACU524328 AMQ524327:AMQ524328 AWM524327:AWM524328 BGI524327:BGI524328 BQE524327:BQE524328 CAA524327:CAA524328 CJW524327:CJW524328 CTS524327:CTS524328 DDO524327:DDO524328 DNK524327:DNK524328 DXG524327:DXG524328 EHC524327:EHC524328 EQY524327:EQY524328 FAU524327:FAU524328 FKQ524327:FKQ524328 FUM524327:FUM524328 GEI524327:GEI524328 GOE524327:GOE524328 GYA524327:GYA524328 HHW524327:HHW524328 HRS524327:HRS524328 IBO524327:IBO524328 ILK524327:ILK524328 IVG524327:IVG524328 JFC524327:JFC524328 JOY524327:JOY524328 JYU524327:JYU524328 KIQ524327:KIQ524328 KSM524327:KSM524328 LCI524327:LCI524328 LME524327:LME524328 LWA524327:LWA524328 MFW524327:MFW524328 MPS524327:MPS524328 MZO524327:MZO524328 NJK524327:NJK524328 NTG524327:NTG524328 ODC524327:ODC524328 OMY524327:OMY524328 OWU524327:OWU524328 PGQ524327:PGQ524328 PQM524327:PQM524328 QAI524327:QAI524328 QKE524327:QKE524328 QUA524327:QUA524328 RDW524327:RDW524328 RNS524327:RNS524328 RXO524327:RXO524328 SHK524327:SHK524328 SRG524327:SRG524328 TBC524327:TBC524328 TKY524327:TKY524328 TUU524327:TUU524328 UEQ524327:UEQ524328 UOM524327:UOM524328 UYI524327:UYI524328 VIE524327:VIE524328 VSA524327:VSA524328 WBW524327:WBW524328 WLS524327:WLS524328 WVO524327:WVO524328 G589863:G589864 JC589863:JC589864 SY589863:SY589864 ACU589863:ACU589864 AMQ589863:AMQ589864 AWM589863:AWM589864 BGI589863:BGI589864 BQE589863:BQE589864 CAA589863:CAA589864 CJW589863:CJW589864 CTS589863:CTS589864 DDO589863:DDO589864 DNK589863:DNK589864 DXG589863:DXG589864 EHC589863:EHC589864 EQY589863:EQY589864 FAU589863:FAU589864 FKQ589863:FKQ589864 FUM589863:FUM589864 GEI589863:GEI589864 GOE589863:GOE589864 GYA589863:GYA589864 HHW589863:HHW589864 HRS589863:HRS589864 IBO589863:IBO589864 ILK589863:ILK589864 IVG589863:IVG589864 JFC589863:JFC589864 JOY589863:JOY589864 JYU589863:JYU589864 KIQ589863:KIQ589864 KSM589863:KSM589864 LCI589863:LCI589864 LME589863:LME589864 LWA589863:LWA589864 MFW589863:MFW589864 MPS589863:MPS589864 MZO589863:MZO589864 NJK589863:NJK589864 NTG589863:NTG589864 ODC589863:ODC589864 OMY589863:OMY589864 OWU589863:OWU589864 PGQ589863:PGQ589864 PQM589863:PQM589864 QAI589863:QAI589864 QKE589863:QKE589864 QUA589863:QUA589864 RDW589863:RDW589864 RNS589863:RNS589864 RXO589863:RXO589864 SHK589863:SHK589864 SRG589863:SRG589864 TBC589863:TBC589864 TKY589863:TKY589864 TUU589863:TUU589864 UEQ589863:UEQ589864 UOM589863:UOM589864 UYI589863:UYI589864 VIE589863:VIE589864 VSA589863:VSA589864 WBW589863:WBW589864 WLS589863:WLS589864 WVO589863:WVO589864 G655399:G655400 JC655399:JC655400 SY655399:SY655400 ACU655399:ACU655400 AMQ655399:AMQ655400 AWM655399:AWM655400 BGI655399:BGI655400 BQE655399:BQE655400 CAA655399:CAA655400 CJW655399:CJW655400 CTS655399:CTS655400 DDO655399:DDO655400 DNK655399:DNK655400 DXG655399:DXG655400 EHC655399:EHC655400 EQY655399:EQY655400 FAU655399:FAU655400 FKQ655399:FKQ655400 FUM655399:FUM655400 GEI655399:GEI655400 GOE655399:GOE655400 GYA655399:GYA655400 HHW655399:HHW655400 HRS655399:HRS655400 IBO655399:IBO655400 ILK655399:ILK655400 IVG655399:IVG655400 JFC655399:JFC655400 JOY655399:JOY655400 JYU655399:JYU655400 KIQ655399:KIQ655400 KSM655399:KSM655400 LCI655399:LCI655400 LME655399:LME655400 LWA655399:LWA655400 MFW655399:MFW655400 MPS655399:MPS655400 MZO655399:MZO655400 NJK655399:NJK655400 NTG655399:NTG655400 ODC655399:ODC655400 OMY655399:OMY655400 OWU655399:OWU655400 PGQ655399:PGQ655400 PQM655399:PQM655400 QAI655399:QAI655400 QKE655399:QKE655400 QUA655399:QUA655400 RDW655399:RDW655400 RNS655399:RNS655400 RXO655399:RXO655400 SHK655399:SHK655400 SRG655399:SRG655400 TBC655399:TBC655400 TKY655399:TKY655400 TUU655399:TUU655400 UEQ655399:UEQ655400 UOM655399:UOM655400 UYI655399:UYI655400 VIE655399:VIE655400 VSA655399:VSA655400 WBW655399:WBW655400 WLS655399:WLS655400 WVO655399:WVO655400 G720935:G720936 JC720935:JC720936 SY720935:SY720936 ACU720935:ACU720936 AMQ720935:AMQ720936 AWM720935:AWM720936 BGI720935:BGI720936 BQE720935:BQE720936 CAA720935:CAA720936 CJW720935:CJW720936 CTS720935:CTS720936 DDO720935:DDO720936 DNK720935:DNK720936 DXG720935:DXG720936 EHC720935:EHC720936 EQY720935:EQY720936 FAU720935:FAU720936 FKQ720935:FKQ720936 FUM720935:FUM720936 GEI720935:GEI720936 GOE720935:GOE720936 GYA720935:GYA720936 HHW720935:HHW720936 HRS720935:HRS720936 IBO720935:IBO720936 ILK720935:ILK720936 IVG720935:IVG720936 JFC720935:JFC720936 JOY720935:JOY720936 JYU720935:JYU720936 KIQ720935:KIQ720936 KSM720935:KSM720936 LCI720935:LCI720936 LME720935:LME720936 LWA720935:LWA720936 MFW720935:MFW720936 MPS720935:MPS720936 MZO720935:MZO720936 NJK720935:NJK720936 NTG720935:NTG720936 ODC720935:ODC720936 OMY720935:OMY720936 OWU720935:OWU720936 PGQ720935:PGQ720936 PQM720935:PQM720936 QAI720935:QAI720936 QKE720935:QKE720936 QUA720935:QUA720936 RDW720935:RDW720936 RNS720935:RNS720936 RXO720935:RXO720936 SHK720935:SHK720936 SRG720935:SRG720936 TBC720935:TBC720936 TKY720935:TKY720936 TUU720935:TUU720936 UEQ720935:UEQ720936 UOM720935:UOM720936 UYI720935:UYI720936 VIE720935:VIE720936 VSA720935:VSA720936 WBW720935:WBW720936 WLS720935:WLS720936 WVO720935:WVO720936 G786471:G786472 JC786471:JC786472 SY786471:SY786472 ACU786471:ACU786472 AMQ786471:AMQ786472 AWM786471:AWM786472 BGI786471:BGI786472 BQE786471:BQE786472 CAA786471:CAA786472 CJW786471:CJW786472 CTS786471:CTS786472 DDO786471:DDO786472 DNK786471:DNK786472 DXG786471:DXG786472 EHC786471:EHC786472 EQY786471:EQY786472 FAU786471:FAU786472 FKQ786471:FKQ786472 FUM786471:FUM786472 GEI786471:GEI786472 GOE786471:GOE786472 GYA786471:GYA786472 HHW786471:HHW786472 HRS786471:HRS786472 IBO786471:IBO786472 ILK786471:ILK786472 IVG786471:IVG786472 JFC786471:JFC786472 JOY786471:JOY786472 JYU786471:JYU786472 KIQ786471:KIQ786472 KSM786471:KSM786472 LCI786471:LCI786472 LME786471:LME786472 LWA786471:LWA786472 MFW786471:MFW786472 MPS786471:MPS786472 MZO786471:MZO786472 NJK786471:NJK786472 NTG786471:NTG786472 ODC786471:ODC786472 OMY786471:OMY786472 OWU786471:OWU786472 PGQ786471:PGQ786472 PQM786471:PQM786472 QAI786471:QAI786472 QKE786471:QKE786472 QUA786471:QUA786472 RDW786471:RDW786472 RNS786471:RNS786472 RXO786471:RXO786472 SHK786471:SHK786472 SRG786471:SRG786472 TBC786471:TBC786472 TKY786471:TKY786472 TUU786471:TUU786472 UEQ786471:UEQ786472 UOM786471:UOM786472 UYI786471:UYI786472 VIE786471:VIE786472 VSA786471:VSA786472 WBW786471:WBW786472 WLS786471:WLS786472 WVO786471:WVO786472 G852007:G852008 JC852007:JC852008 SY852007:SY852008 ACU852007:ACU852008 AMQ852007:AMQ852008 AWM852007:AWM852008 BGI852007:BGI852008 BQE852007:BQE852008 CAA852007:CAA852008 CJW852007:CJW852008 CTS852007:CTS852008 DDO852007:DDO852008 DNK852007:DNK852008 DXG852007:DXG852008 EHC852007:EHC852008 EQY852007:EQY852008 FAU852007:FAU852008 FKQ852007:FKQ852008 FUM852007:FUM852008 GEI852007:GEI852008 GOE852007:GOE852008 GYA852007:GYA852008 HHW852007:HHW852008 HRS852007:HRS852008 IBO852007:IBO852008 ILK852007:ILK852008 IVG852007:IVG852008 JFC852007:JFC852008 JOY852007:JOY852008 JYU852007:JYU852008 KIQ852007:KIQ852008 KSM852007:KSM852008 LCI852007:LCI852008 LME852007:LME852008 LWA852007:LWA852008 MFW852007:MFW852008 MPS852007:MPS852008 MZO852007:MZO852008 NJK852007:NJK852008 NTG852007:NTG852008 ODC852007:ODC852008 OMY852007:OMY852008 OWU852007:OWU852008 PGQ852007:PGQ852008 PQM852007:PQM852008 QAI852007:QAI852008 QKE852007:QKE852008 QUA852007:QUA852008 RDW852007:RDW852008 RNS852007:RNS852008 RXO852007:RXO852008 SHK852007:SHK852008 SRG852007:SRG852008 TBC852007:TBC852008 TKY852007:TKY852008 TUU852007:TUU852008 UEQ852007:UEQ852008 UOM852007:UOM852008 UYI852007:UYI852008 VIE852007:VIE852008 VSA852007:VSA852008 WBW852007:WBW852008 WLS852007:WLS852008 WVO852007:WVO852008 G917543:G917544 JC917543:JC917544 SY917543:SY917544 ACU917543:ACU917544 AMQ917543:AMQ917544 AWM917543:AWM917544 BGI917543:BGI917544 BQE917543:BQE917544 CAA917543:CAA917544 CJW917543:CJW917544 CTS917543:CTS917544 DDO917543:DDO917544 DNK917543:DNK917544 DXG917543:DXG917544 EHC917543:EHC917544 EQY917543:EQY917544 FAU917543:FAU917544 FKQ917543:FKQ917544 FUM917543:FUM917544 GEI917543:GEI917544 GOE917543:GOE917544 GYA917543:GYA917544 HHW917543:HHW917544 HRS917543:HRS917544 IBO917543:IBO917544 ILK917543:ILK917544 IVG917543:IVG917544 JFC917543:JFC917544 JOY917543:JOY917544 JYU917543:JYU917544 KIQ917543:KIQ917544 KSM917543:KSM917544 LCI917543:LCI917544 LME917543:LME917544 LWA917543:LWA917544 MFW917543:MFW917544 MPS917543:MPS917544 MZO917543:MZO917544 NJK917543:NJK917544 NTG917543:NTG917544 ODC917543:ODC917544 OMY917543:OMY917544 OWU917543:OWU917544 PGQ917543:PGQ917544 PQM917543:PQM917544 QAI917543:QAI917544 QKE917543:QKE917544 QUA917543:QUA917544 RDW917543:RDW917544 RNS917543:RNS917544 RXO917543:RXO917544 SHK917543:SHK917544 SRG917543:SRG917544 TBC917543:TBC917544 TKY917543:TKY917544 TUU917543:TUU917544 UEQ917543:UEQ917544 UOM917543:UOM917544 UYI917543:UYI917544 VIE917543:VIE917544 VSA917543:VSA917544 WBW917543:WBW917544 WLS917543:WLS917544 WVO917543:WVO917544 G983079:G983080 JC983079:JC983080 SY983079:SY983080 ACU983079:ACU983080 AMQ983079:AMQ983080 AWM983079:AWM983080 BGI983079:BGI983080 BQE983079:BQE983080 CAA983079:CAA983080 CJW983079:CJW983080 CTS983079:CTS983080 DDO983079:DDO983080 DNK983079:DNK983080 DXG983079:DXG983080 EHC983079:EHC983080 EQY983079:EQY983080 FAU983079:FAU983080 FKQ983079:FKQ983080 FUM983079:FUM983080 GEI983079:GEI983080 GOE983079:GOE983080 GYA983079:GYA983080 HHW983079:HHW983080 HRS983079:HRS983080 IBO983079:IBO983080 ILK983079:ILK983080 IVG983079:IVG983080 JFC983079:JFC983080 JOY983079:JOY983080 JYU983079:JYU983080 KIQ983079:KIQ983080 KSM983079:KSM983080 LCI983079:LCI983080 LME983079:LME983080 LWA983079:LWA983080 MFW983079:MFW983080 MPS983079:MPS983080 MZO983079:MZO983080 NJK983079:NJK983080 NTG983079:NTG983080 ODC983079:ODC983080 OMY983079:OMY983080 OWU983079:OWU983080 PGQ983079:PGQ983080 PQM983079:PQM983080 QAI983079:QAI983080 QKE983079:QKE983080 QUA983079:QUA983080 RDW983079:RDW983080 RNS983079:RNS983080 RXO983079:RXO983080 SHK983079:SHK983080 SRG983079:SRG983080 TBC983079:TBC983080 TKY983079:TKY983080 TUU983079:TUU983080 UEQ983079:UEQ983080 UOM983079:UOM983080 UYI983079:UYI983080 VIE983079:VIE983080 VSA983079:VSA983080 WBW983079:WBW983080 WLS983079:WLS983080 WVO983079:WVO983080 G43 JC43 SY43 ACU43 AMQ43 AWM43 BGI43 BQE43 CAA43 CJW43 CTS43 DDO43 DNK43 DXG43 EHC43 EQY43 FAU43 FKQ43 FUM43 GEI43 GOE43 GYA43 HHW43 HRS43 IBO43 ILK43 IVG43 JFC43 JOY43 JYU43 KIQ43 KSM43 LCI43 LME43 LWA43 MFW43 MPS43 MZO43 NJK43 NTG43 ODC43 OMY43 OWU43 PGQ43 PQM43 QAI43 QKE43 QUA43 RDW43 RNS43 RXO43 SHK43 SRG43 TBC43 TKY43 TUU43 UEQ43 UOM43 UYI43 VIE43 VSA43 WBW43 WLS43 WVO43 G65579 JC65579 SY65579 ACU65579 AMQ65579 AWM65579 BGI65579 BQE65579 CAA65579 CJW65579 CTS65579 DDO65579 DNK65579 DXG65579 EHC65579 EQY65579 FAU65579 FKQ65579 FUM65579 GEI65579 GOE65579 GYA65579 HHW65579 HRS65579 IBO65579 ILK65579 IVG65579 JFC65579 JOY65579 JYU65579 KIQ65579 KSM65579 LCI65579 LME65579 LWA65579 MFW65579 MPS65579 MZO65579 NJK65579 NTG65579 ODC65579 OMY65579 OWU65579 PGQ65579 PQM65579 QAI65579 QKE65579 QUA65579 RDW65579 RNS65579 RXO65579 SHK65579 SRG65579 TBC65579 TKY65579 TUU65579 UEQ65579 UOM65579 UYI65579 VIE65579 VSA65579 WBW65579 WLS65579 WVO65579 G131115 JC131115 SY131115 ACU131115 AMQ131115 AWM131115 BGI131115 BQE131115 CAA131115 CJW131115 CTS131115 DDO131115 DNK131115 DXG131115 EHC131115 EQY131115 FAU131115 FKQ131115 FUM131115 GEI131115 GOE131115 GYA131115 HHW131115 HRS131115 IBO131115 ILK131115 IVG131115 JFC131115 JOY131115 JYU131115 KIQ131115 KSM131115 LCI131115 LME131115 LWA131115 MFW131115 MPS131115 MZO131115 NJK131115 NTG131115 ODC131115 OMY131115 OWU131115 PGQ131115 PQM131115 QAI131115 QKE131115 QUA131115 RDW131115 RNS131115 RXO131115 SHK131115 SRG131115 TBC131115 TKY131115 TUU131115 UEQ131115 UOM131115 UYI131115 VIE131115 VSA131115 WBW131115 WLS131115 WVO131115 G196651 JC196651 SY196651 ACU196651 AMQ196651 AWM196651 BGI196651 BQE196651 CAA196651 CJW196651 CTS196651 DDO196651 DNK196651 DXG196651 EHC196651 EQY196651 FAU196651 FKQ196651 FUM196651 GEI196651 GOE196651 GYA196651 HHW196651 HRS196651 IBO196651 ILK196651 IVG196651 JFC196651 JOY196651 JYU196651 KIQ196651 KSM196651 LCI196651 LME196651 LWA196651 MFW196651 MPS196651 MZO196651 NJK196651 NTG196651 ODC196651 OMY196651 OWU196651 PGQ196651 PQM196651 QAI196651 QKE196651 QUA196651 RDW196651 RNS196651 RXO196651 SHK196651 SRG196651 TBC196651 TKY196651 TUU196651 UEQ196651 UOM196651 UYI196651 VIE196651 VSA196651 WBW196651 WLS196651 WVO196651 G262187 JC262187 SY262187 ACU262187 AMQ262187 AWM262187 BGI262187 BQE262187 CAA262187 CJW262187 CTS262187 DDO262187 DNK262187 DXG262187 EHC262187 EQY262187 FAU262187 FKQ262187 FUM262187 GEI262187 GOE262187 GYA262187 HHW262187 HRS262187 IBO262187 ILK262187 IVG262187 JFC262187 JOY262187 JYU262187 KIQ262187 KSM262187 LCI262187 LME262187 LWA262187 MFW262187 MPS262187 MZO262187 NJK262187 NTG262187 ODC262187 OMY262187 OWU262187 PGQ262187 PQM262187 QAI262187 QKE262187 QUA262187 RDW262187 RNS262187 RXO262187 SHK262187 SRG262187 TBC262187 TKY262187 TUU262187 UEQ262187 UOM262187 UYI262187 VIE262187 VSA262187 WBW262187 WLS262187 WVO262187 G327723 JC327723 SY327723 ACU327723 AMQ327723 AWM327723 BGI327723 BQE327723 CAA327723 CJW327723 CTS327723 DDO327723 DNK327723 DXG327723 EHC327723 EQY327723 FAU327723 FKQ327723 FUM327723 GEI327723 GOE327723 GYA327723 HHW327723 HRS327723 IBO327723 ILK327723 IVG327723 JFC327723 JOY327723 JYU327723 KIQ327723 KSM327723 LCI327723 LME327723 LWA327723 MFW327723 MPS327723 MZO327723 NJK327723 NTG327723 ODC327723 OMY327723 OWU327723 PGQ327723 PQM327723 QAI327723 QKE327723 QUA327723 RDW327723 RNS327723 RXO327723 SHK327723 SRG327723 TBC327723 TKY327723 TUU327723 UEQ327723 UOM327723 UYI327723 VIE327723 VSA327723 WBW327723 WLS327723 WVO327723 G393259 JC393259 SY393259 ACU393259 AMQ393259 AWM393259 BGI393259 BQE393259 CAA393259 CJW393259 CTS393259 DDO393259 DNK393259 DXG393259 EHC393259 EQY393259 FAU393259 FKQ393259 FUM393259 GEI393259 GOE393259 GYA393259 HHW393259 HRS393259 IBO393259 ILK393259 IVG393259 JFC393259 JOY393259 JYU393259 KIQ393259 KSM393259 LCI393259 LME393259 LWA393259 MFW393259 MPS393259 MZO393259 NJK393259 NTG393259 ODC393259 OMY393259 OWU393259 PGQ393259 PQM393259 QAI393259 QKE393259 QUA393259 RDW393259 RNS393259 RXO393259 SHK393259 SRG393259 TBC393259 TKY393259 TUU393259 UEQ393259 UOM393259 UYI393259 VIE393259 VSA393259 WBW393259 WLS393259 WVO393259 G458795 JC458795 SY458795 ACU458795 AMQ458795 AWM458795 BGI458795 BQE458795 CAA458795 CJW458795 CTS458795 DDO458795 DNK458795 DXG458795 EHC458795 EQY458795 FAU458795 FKQ458795 FUM458795 GEI458795 GOE458795 GYA458795 HHW458795 HRS458795 IBO458795 ILK458795 IVG458795 JFC458795 JOY458795 JYU458795 KIQ458795 KSM458795 LCI458795 LME458795 LWA458795 MFW458795 MPS458795 MZO458795 NJK458795 NTG458795 ODC458795 OMY458795 OWU458795 PGQ458795 PQM458795 QAI458795 QKE458795 QUA458795 RDW458795 RNS458795 RXO458795 SHK458795 SRG458795 TBC458795 TKY458795 TUU458795 UEQ458795 UOM458795 UYI458795 VIE458795 VSA458795 WBW458795 WLS458795 WVO458795 G524331 JC524331 SY524331 ACU524331 AMQ524331 AWM524331 BGI524331 BQE524331 CAA524331 CJW524331 CTS524331 DDO524331 DNK524331 DXG524331 EHC524331 EQY524331 FAU524331 FKQ524331 FUM524331 GEI524331 GOE524331 GYA524331 HHW524331 HRS524331 IBO524331 ILK524331 IVG524331 JFC524331 JOY524331 JYU524331 KIQ524331 KSM524331 LCI524331 LME524331 LWA524331 MFW524331 MPS524331 MZO524331 NJK524331 NTG524331 ODC524331 OMY524331 OWU524331 PGQ524331 PQM524331 QAI524331 QKE524331 QUA524331 RDW524331 RNS524331 RXO524331 SHK524331 SRG524331 TBC524331 TKY524331 TUU524331 UEQ524331 UOM524331 UYI524331 VIE524331 VSA524331 WBW524331 WLS524331 WVO524331 G589867 JC589867 SY589867 ACU589867 AMQ589867 AWM589867 BGI589867 BQE589867 CAA589867 CJW589867 CTS589867 DDO589867 DNK589867 DXG589867 EHC589867 EQY589867 FAU589867 FKQ589867 FUM589867 GEI589867 GOE589867 GYA589867 HHW589867 HRS589867 IBO589867 ILK589867 IVG589867 JFC589867 JOY589867 JYU589867 KIQ589867 KSM589867 LCI589867 LME589867 LWA589867 MFW589867 MPS589867 MZO589867 NJK589867 NTG589867 ODC589867 OMY589867 OWU589867 PGQ589867 PQM589867 QAI589867 QKE589867 QUA589867 RDW589867 RNS589867 RXO589867 SHK589867 SRG589867 TBC589867 TKY589867 TUU589867 UEQ589867 UOM589867 UYI589867 VIE589867 VSA589867 WBW589867 WLS589867 WVO589867 G655403 JC655403 SY655403 ACU655403 AMQ655403 AWM655403 BGI655403 BQE655403 CAA655403 CJW655403 CTS655403 DDO655403 DNK655403 DXG655403 EHC655403 EQY655403 FAU655403 FKQ655403 FUM655403 GEI655403 GOE655403 GYA655403 HHW655403 HRS655403 IBO655403 ILK655403 IVG655403 JFC655403 JOY655403 JYU655403 KIQ655403 KSM655403 LCI655403 LME655403 LWA655403 MFW655403 MPS655403 MZO655403 NJK655403 NTG655403 ODC655403 OMY655403 OWU655403 PGQ655403 PQM655403 QAI655403 QKE655403 QUA655403 RDW655403 RNS655403 RXO655403 SHK655403 SRG655403 TBC655403 TKY655403 TUU655403 UEQ655403 UOM655403 UYI655403 VIE655403 VSA655403 WBW655403 WLS655403 WVO655403 G720939 JC720939 SY720939 ACU720939 AMQ720939 AWM720939 BGI720939 BQE720939 CAA720939 CJW720939 CTS720939 DDO720939 DNK720939 DXG720939 EHC720939 EQY720939 FAU720939 FKQ720939 FUM720939 GEI720939 GOE720939 GYA720939 HHW720939 HRS720939 IBO720939 ILK720939 IVG720939 JFC720939 JOY720939 JYU720939 KIQ720939 KSM720939 LCI720939 LME720939 LWA720939 MFW720939 MPS720939 MZO720939 NJK720939 NTG720939 ODC720939 OMY720939 OWU720939 PGQ720939 PQM720939 QAI720939 QKE720939 QUA720939 RDW720939 RNS720939 RXO720939 SHK720939 SRG720939 TBC720939 TKY720939 TUU720939 UEQ720939 UOM720939 UYI720939 VIE720939 VSA720939 WBW720939 WLS720939 WVO720939 G786475 JC786475 SY786475 ACU786475 AMQ786475 AWM786475 BGI786475 BQE786475 CAA786475 CJW786475 CTS786475 DDO786475 DNK786475 DXG786475 EHC786475 EQY786475 FAU786475 FKQ786475 FUM786475 GEI786475 GOE786475 GYA786475 HHW786475 HRS786475 IBO786475 ILK786475 IVG786475 JFC786475 JOY786475 JYU786475 KIQ786475 KSM786475 LCI786475 LME786475 LWA786475 MFW786475 MPS786475 MZO786475 NJK786475 NTG786475 ODC786475 OMY786475 OWU786475 PGQ786475 PQM786475 QAI786475 QKE786475 QUA786475 RDW786475 RNS786475 RXO786475 SHK786475 SRG786475 TBC786475 TKY786475 TUU786475 UEQ786475 UOM786475 UYI786475 VIE786475 VSA786475 WBW786475 WLS786475 WVO786475 G852011 JC852011 SY852011 ACU852011 AMQ852011 AWM852011 BGI852011 BQE852011 CAA852011 CJW852011 CTS852011 DDO852011 DNK852011 DXG852011 EHC852011 EQY852011 FAU852011 FKQ852011 FUM852011 GEI852011 GOE852011 GYA852011 HHW852011 HRS852011 IBO852011 ILK852011 IVG852011 JFC852011 JOY852011 JYU852011 KIQ852011 KSM852011 LCI852011 LME852011 LWA852011 MFW852011 MPS852011 MZO852011 NJK852011 NTG852011 ODC852011 OMY852011 OWU852011 PGQ852011 PQM852011 QAI852011 QKE852011 QUA852011 RDW852011 RNS852011 RXO852011 SHK852011 SRG852011 TBC852011 TKY852011 TUU852011 UEQ852011 UOM852011 UYI852011 VIE852011 VSA852011 WBW852011 WLS852011 WVO852011 G917547 JC917547 SY917547 ACU917547 AMQ917547 AWM917547 BGI917547 BQE917547 CAA917547 CJW917547 CTS917547 DDO917547 DNK917547 DXG917547 EHC917547 EQY917547 FAU917547 FKQ917547 FUM917547 GEI917547 GOE917547 GYA917547 HHW917547 HRS917547 IBO917547 ILK917547 IVG917547 JFC917547 JOY917547 JYU917547 KIQ917547 KSM917547 LCI917547 LME917547 LWA917547 MFW917547 MPS917547 MZO917547 NJK917547 NTG917547 ODC917547 OMY917547 OWU917547 PGQ917547 PQM917547 QAI917547 QKE917547 QUA917547 RDW917547 RNS917547 RXO917547 SHK917547 SRG917547 TBC917547 TKY917547 TUU917547 UEQ917547 UOM917547 UYI917547 VIE917547 VSA917547 WBW917547 WLS917547 WVO917547 G983083 JC983083 SY983083 ACU983083 AMQ983083 AWM983083 BGI983083 BQE983083 CAA983083 CJW983083 CTS983083 DDO983083 DNK983083 DXG983083 EHC983083 EQY983083 FAU983083 FKQ983083 FUM983083 GEI983083 GOE983083 GYA983083 HHW983083 HRS983083 IBO983083 ILK983083 IVG983083 JFC983083 JOY983083 JYU983083 KIQ983083 KSM983083 LCI983083 LME983083 LWA983083 MFW983083 MPS983083 MZO983083 NJK983083 NTG983083 ODC983083 OMY983083 OWU983083 PGQ983083 PQM983083 QAI983083 QKE983083 QUA983083 RDW983083 RNS983083 RXO983083 SHK983083 SRG983083 TBC983083 TKY983083 TUU983083 UEQ983083 UOM983083 UYI983083 VIE983083 VSA983083 WBW983083 WLS983083 WVO983083 G57:G58 JC57:JC58 SY57:SY58 ACU57:ACU58 AMQ57:AMQ58 AWM57:AWM58 BGI57:BGI58 BQE57:BQE58 CAA57:CAA58 CJW57:CJW58 CTS57:CTS58 DDO57:DDO58 DNK57:DNK58 DXG57:DXG58 EHC57:EHC58 EQY57:EQY58 FAU57:FAU58 FKQ57:FKQ58 FUM57:FUM58 GEI57:GEI58 GOE57:GOE58 GYA57:GYA58 HHW57:HHW58 HRS57:HRS58 IBO57:IBO58 ILK57:ILK58 IVG57:IVG58 JFC57:JFC58 JOY57:JOY58 JYU57:JYU58 KIQ57:KIQ58 KSM57:KSM58 LCI57:LCI58 LME57:LME58 LWA57:LWA58 MFW57:MFW58 MPS57:MPS58 MZO57:MZO58 NJK57:NJK58 NTG57:NTG58 ODC57:ODC58 OMY57:OMY58 OWU57:OWU58 PGQ57:PGQ58 PQM57:PQM58 QAI57:QAI58 QKE57:QKE58 QUA57:QUA58 RDW57:RDW58 RNS57:RNS58 RXO57:RXO58 SHK57:SHK58 SRG57:SRG58 TBC57:TBC58 TKY57:TKY58 TUU57:TUU58 UEQ57:UEQ58 UOM57:UOM58 UYI57:UYI58 VIE57:VIE58 VSA57:VSA58 WBW57:WBW58 WLS57:WLS58 WVO57:WVO58 G65593:G65594 JC65593:JC65594 SY65593:SY65594 ACU65593:ACU65594 AMQ65593:AMQ65594 AWM65593:AWM65594 BGI65593:BGI65594 BQE65593:BQE65594 CAA65593:CAA65594 CJW65593:CJW65594 CTS65593:CTS65594 DDO65593:DDO65594 DNK65593:DNK65594 DXG65593:DXG65594 EHC65593:EHC65594 EQY65593:EQY65594 FAU65593:FAU65594 FKQ65593:FKQ65594 FUM65593:FUM65594 GEI65593:GEI65594 GOE65593:GOE65594 GYA65593:GYA65594 HHW65593:HHW65594 HRS65593:HRS65594 IBO65593:IBO65594 ILK65593:ILK65594 IVG65593:IVG65594 JFC65593:JFC65594 JOY65593:JOY65594 JYU65593:JYU65594 KIQ65593:KIQ65594 KSM65593:KSM65594 LCI65593:LCI65594 LME65593:LME65594 LWA65593:LWA65594 MFW65593:MFW65594 MPS65593:MPS65594 MZO65593:MZO65594 NJK65593:NJK65594 NTG65593:NTG65594 ODC65593:ODC65594 OMY65593:OMY65594 OWU65593:OWU65594 PGQ65593:PGQ65594 PQM65593:PQM65594 QAI65593:QAI65594 QKE65593:QKE65594 QUA65593:QUA65594 RDW65593:RDW65594 RNS65593:RNS65594 RXO65593:RXO65594 SHK65593:SHK65594 SRG65593:SRG65594 TBC65593:TBC65594 TKY65593:TKY65594 TUU65593:TUU65594 UEQ65593:UEQ65594 UOM65593:UOM65594 UYI65593:UYI65594 VIE65593:VIE65594 VSA65593:VSA65594 WBW65593:WBW65594 WLS65593:WLS65594 WVO65593:WVO65594 G131129:G131130 JC131129:JC131130 SY131129:SY131130 ACU131129:ACU131130 AMQ131129:AMQ131130 AWM131129:AWM131130 BGI131129:BGI131130 BQE131129:BQE131130 CAA131129:CAA131130 CJW131129:CJW131130 CTS131129:CTS131130 DDO131129:DDO131130 DNK131129:DNK131130 DXG131129:DXG131130 EHC131129:EHC131130 EQY131129:EQY131130 FAU131129:FAU131130 FKQ131129:FKQ131130 FUM131129:FUM131130 GEI131129:GEI131130 GOE131129:GOE131130 GYA131129:GYA131130 HHW131129:HHW131130 HRS131129:HRS131130 IBO131129:IBO131130 ILK131129:ILK131130 IVG131129:IVG131130 JFC131129:JFC131130 JOY131129:JOY131130 JYU131129:JYU131130 KIQ131129:KIQ131130 KSM131129:KSM131130 LCI131129:LCI131130 LME131129:LME131130 LWA131129:LWA131130 MFW131129:MFW131130 MPS131129:MPS131130 MZO131129:MZO131130 NJK131129:NJK131130 NTG131129:NTG131130 ODC131129:ODC131130 OMY131129:OMY131130 OWU131129:OWU131130 PGQ131129:PGQ131130 PQM131129:PQM131130 QAI131129:QAI131130 QKE131129:QKE131130 QUA131129:QUA131130 RDW131129:RDW131130 RNS131129:RNS131130 RXO131129:RXO131130 SHK131129:SHK131130 SRG131129:SRG131130 TBC131129:TBC131130 TKY131129:TKY131130 TUU131129:TUU131130 UEQ131129:UEQ131130 UOM131129:UOM131130 UYI131129:UYI131130 VIE131129:VIE131130 VSA131129:VSA131130 WBW131129:WBW131130 WLS131129:WLS131130 WVO131129:WVO131130 G196665:G196666 JC196665:JC196666 SY196665:SY196666 ACU196665:ACU196666 AMQ196665:AMQ196666 AWM196665:AWM196666 BGI196665:BGI196666 BQE196665:BQE196666 CAA196665:CAA196666 CJW196665:CJW196666 CTS196665:CTS196666 DDO196665:DDO196666 DNK196665:DNK196666 DXG196665:DXG196666 EHC196665:EHC196666 EQY196665:EQY196666 FAU196665:FAU196666 FKQ196665:FKQ196666 FUM196665:FUM196666 GEI196665:GEI196666 GOE196665:GOE196666 GYA196665:GYA196666 HHW196665:HHW196666 HRS196665:HRS196666 IBO196665:IBO196666 ILK196665:ILK196666 IVG196665:IVG196666 JFC196665:JFC196666 JOY196665:JOY196666 JYU196665:JYU196666 KIQ196665:KIQ196666 KSM196665:KSM196666 LCI196665:LCI196666 LME196665:LME196666 LWA196665:LWA196666 MFW196665:MFW196666 MPS196665:MPS196666 MZO196665:MZO196666 NJK196665:NJK196666 NTG196665:NTG196666 ODC196665:ODC196666 OMY196665:OMY196666 OWU196665:OWU196666 PGQ196665:PGQ196666 PQM196665:PQM196666 QAI196665:QAI196666 QKE196665:QKE196666 QUA196665:QUA196666 RDW196665:RDW196666 RNS196665:RNS196666 RXO196665:RXO196666 SHK196665:SHK196666 SRG196665:SRG196666 TBC196665:TBC196666 TKY196665:TKY196666 TUU196665:TUU196666 UEQ196665:UEQ196666 UOM196665:UOM196666 UYI196665:UYI196666 VIE196665:VIE196666 VSA196665:VSA196666 WBW196665:WBW196666 WLS196665:WLS196666 WVO196665:WVO196666 G262201:G262202 JC262201:JC262202 SY262201:SY262202 ACU262201:ACU262202 AMQ262201:AMQ262202 AWM262201:AWM262202 BGI262201:BGI262202 BQE262201:BQE262202 CAA262201:CAA262202 CJW262201:CJW262202 CTS262201:CTS262202 DDO262201:DDO262202 DNK262201:DNK262202 DXG262201:DXG262202 EHC262201:EHC262202 EQY262201:EQY262202 FAU262201:FAU262202 FKQ262201:FKQ262202 FUM262201:FUM262202 GEI262201:GEI262202 GOE262201:GOE262202 GYA262201:GYA262202 HHW262201:HHW262202 HRS262201:HRS262202 IBO262201:IBO262202 ILK262201:ILK262202 IVG262201:IVG262202 JFC262201:JFC262202 JOY262201:JOY262202 JYU262201:JYU262202 KIQ262201:KIQ262202 KSM262201:KSM262202 LCI262201:LCI262202 LME262201:LME262202 LWA262201:LWA262202 MFW262201:MFW262202 MPS262201:MPS262202 MZO262201:MZO262202 NJK262201:NJK262202 NTG262201:NTG262202 ODC262201:ODC262202 OMY262201:OMY262202 OWU262201:OWU262202 PGQ262201:PGQ262202 PQM262201:PQM262202 QAI262201:QAI262202 QKE262201:QKE262202 QUA262201:QUA262202 RDW262201:RDW262202 RNS262201:RNS262202 RXO262201:RXO262202 SHK262201:SHK262202 SRG262201:SRG262202 TBC262201:TBC262202 TKY262201:TKY262202 TUU262201:TUU262202 UEQ262201:UEQ262202 UOM262201:UOM262202 UYI262201:UYI262202 VIE262201:VIE262202 VSA262201:VSA262202 WBW262201:WBW262202 WLS262201:WLS262202 WVO262201:WVO262202 G327737:G327738 JC327737:JC327738 SY327737:SY327738 ACU327737:ACU327738 AMQ327737:AMQ327738 AWM327737:AWM327738 BGI327737:BGI327738 BQE327737:BQE327738 CAA327737:CAA327738 CJW327737:CJW327738 CTS327737:CTS327738 DDO327737:DDO327738 DNK327737:DNK327738 DXG327737:DXG327738 EHC327737:EHC327738 EQY327737:EQY327738 FAU327737:FAU327738 FKQ327737:FKQ327738 FUM327737:FUM327738 GEI327737:GEI327738 GOE327737:GOE327738 GYA327737:GYA327738 HHW327737:HHW327738 HRS327737:HRS327738 IBO327737:IBO327738 ILK327737:ILK327738 IVG327737:IVG327738 JFC327737:JFC327738 JOY327737:JOY327738 JYU327737:JYU327738 KIQ327737:KIQ327738 KSM327737:KSM327738 LCI327737:LCI327738 LME327737:LME327738 LWA327737:LWA327738 MFW327737:MFW327738 MPS327737:MPS327738 MZO327737:MZO327738 NJK327737:NJK327738 NTG327737:NTG327738 ODC327737:ODC327738 OMY327737:OMY327738 OWU327737:OWU327738 PGQ327737:PGQ327738 PQM327737:PQM327738 QAI327737:QAI327738 QKE327737:QKE327738 QUA327737:QUA327738 RDW327737:RDW327738 RNS327737:RNS327738 RXO327737:RXO327738 SHK327737:SHK327738 SRG327737:SRG327738 TBC327737:TBC327738 TKY327737:TKY327738 TUU327737:TUU327738 UEQ327737:UEQ327738 UOM327737:UOM327738 UYI327737:UYI327738 VIE327737:VIE327738 VSA327737:VSA327738 WBW327737:WBW327738 WLS327737:WLS327738 WVO327737:WVO327738 G393273:G393274 JC393273:JC393274 SY393273:SY393274 ACU393273:ACU393274 AMQ393273:AMQ393274 AWM393273:AWM393274 BGI393273:BGI393274 BQE393273:BQE393274 CAA393273:CAA393274 CJW393273:CJW393274 CTS393273:CTS393274 DDO393273:DDO393274 DNK393273:DNK393274 DXG393273:DXG393274 EHC393273:EHC393274 EQY393273:EQY393274 FAU393273:FAU393274 FKQ393273:FKQ393274 FUM393273:FUM393274 GEI393273:GEI393274 GOE393273:GOE393274 GYA393273:GYA393274 HHW393273:HHW393274 HRS393273:HRS393274 IBO393273:IBO393274 ILK393273:ILK393274 IVG393273:IVG393274 JFC393273:JFC393274 JOY393273:JOY393274 JYU393273:JYU393274 KIQ393273:KIQ393274 KSM393273:KSM393274 LCI393273:LCI393274 LME393273:LME393274 LWA393273:LWA393274 MFW393273:MFW393274 MPS393273:MPS393274 MZO393273:MZO393274 NJK393273:NJK393274 NTG393273:NTG393274 ODC393273:ODC393274 OMY393273:OMY393274 OWU393273:OWU393274 PGQ393273:PGQ393274 PQM393273:PQM393274 QAI393273:QAI393274 QKE393273:QKE393274 QUA393273:QUA393274 RDW393273:RDW393274 RNS393273:RNS393274 RXO393273:RXO393274 SHK393273:SHK393274 SRG393273:SRG393274 TBC393273:TBC393274 TKY393273:TKY393274 TUU393273:TUU393274 UEQ393273:UEQ393274 UOM393273:UOM393274 UYI393273:UYI393274 VIE393273:VIE393274 VSA393273:VSA393274 WBW393273:WBW393274 WLS393273:WLS393274 WVO393273:WVO393274 G458809:G458810 JC458809:JC458810 SY458809:SY458810 ACU458809:ACU458810 AMQ458809:AMQ458810 AWM458809:AWM458810 BGI458809:BGI458810 BQE458809:BQE458810 CAA458809:CAA458810 CJW458809:CJW458810 CTS458809:CTS458810 DDO458809:DDO458810 DNK458809:DNK458810 DXG458809:DXG458810 EHC458809:EHC458810 EQY458809:EQY458810 FAU458809:FAU458810 FKQ458809:FKQ458810 FUM458809:FUM458810 GEI458809:GEI458810 GOE458809:GOE458810 GYA458809:GYA458810 HHW458809:HHW458810 HRS458809:HRS458810 IBO458809:IBO458810 ILK458809:ILK458810 IVG458809:IVG458810 JFC458809:JFC458810 JOY458809:JOY458810 JYU458809:JYU458810 KIQ458809:KIQ458810 KSM458809:KSM458810 LCI458809:LCI458810 LME458809:LME458810 LWA458809:LWA458810 MFW458809:MFW458810 MPS458809:MPS458810 MZO458809:MZO458810 NJK458809:NJK458810 NTG458809:NTG458810 ODC458809:ODC458810 OMY458809:OMY458810 OWU458809:OWU458810 PGQ458809:PGQ458810 PQM458809:PQM458810 QAI458809:QAI458810 QKE458809:QKE458810 QUA458809:QUA458810 RDW458809:RDW458810 RNS458809:RNS458810 RXO458809:RXO458810 SHK458809:SHK458810 SRG458809:SRG458810 TBC458809:TBC458810 TKY458809:TKY458810 TUU458809:TUU458810 UEQ458809:UEQ458810 UOM458809:UOM458810 UYI458809:UYI458810 VIE458809:VIE458810 VSA458809:VSA458810 WBW458809:WBW458810 WLS458809:WLS458810 WVO458809:WVO458810 G524345:G524346 JC524345:JC524346 SY524345:SY524346 ACU524345:ACU524346 AMQ524345:AMQ524346 AWM524345:AWM524346 BGI524345:BGI524346 BQE524345:BQE524346 CAA524345:CAA524346 CJW524345:CJW524346 CTS524345:CTS524346 DDO524345:DDO524346 DNK524345:DNK524346 DXG524345:DXG524346 EHC524345:EHC524346 EQY524345:EQY524346 FAU524345:FAU524346 FKQ524345:FKQ524346 FUM524345:FUM524346 GEI524345:GEI524346 GOE524345:GOE524346 GYA524345:GYA524346 HHW524345:HHW524346 HRS524345:HRS524346 IBO524345:IBO524346 ILK524345:ILK524346 IVG524345:IVG524346 JFC524345:JFC524346 JOY524345:JOY524346 JYU524345:JYU524346 KIQ524345:KIQ524346 KSM524345:KSM524346 LCI524345:LCI524346 LME524345:LME524346 LWA524345:LWA524346 MFW524345:MFW524346 MPS524345:MPS524346 MZO524345:MZO524346 NJK524345:NJK524346 NTG524345:NTG524346 ODC524345:ODC524346 OMY524345:OMY524346 OWU524345:OWU524346 PGQ524345:PGQ524346 PQM524345:PQM524346 QAI524345:QAI524346 QKE524345:QKE524346 QUA524345:QUA524346 RDW524345:RDW524346 RNS524345:RNS524346 RXO524345:RXO524346 SHK524345:SHK524346 SRG524345:SRG524346 TBC524345:TBC524346 TKY524345:TKY524346 TUU524345:TUU524346 UEQ524345:UEQ524346 UOM524345:UOM524346 UYI524345:UYI524346 VIE524345:VIE524346 VSA524345:VSA524346 WBW524345:WBW524346 WLS524345:WLS524346 WVO524345:WVO524346 G589881:G589882 JC589881:JC589882 SY589881:SY589882 ACU589881:ACU589882 AMQ589881:AMQ589882 AWM589881:AWM589882 BGI589881:BGI589882 BQE589881:BQE589882 CAA589881:CAA589882 CJW589881:CJW589882 CTS589881:CTS589882 DDO589881:DDO589882 DNK589881:DNK589882 DXG589881:DXG589882 EHC589881:EHC589882 EQY589881:EQY589882 FAU589881:FAU589882 FKQ589881:FKQ589882 FUM589881:FUM589882 GEI589881:GEI589882 GOE589881:GOE589882 GYA589881:GYA589882 HHW589881:HHW589882 HRS589881:HRS589882 IBO589881:IBO589882 ILK589881:ILK589882 IVG589881:IVG589882 JFC589881:JFC589882 JOY589881:JOY589882 JYU589881:JYU589882 KIQ589881:KIQ589882 KSM589881:KSM589882 LCI589881:LCI589882 LME589881:LME589882 LWA589881:LWA589882 MFW589881:MFW589882 MPS589881:MPS589882 MZO589881:MZO589882 NJK589881:NJK589882 NTG589881:NTG589882 ODC589881:ODC589882 OMY589881:OMY589882 OWU589881:OWU589882 PGQ589881:PGQ589882 PQM589881:PQM589882 QAI589881:QAI589882 QKE589881:QKE589882 QUA589881:QUA589882 RDW589881:RDW589882 RNS589881:RNS589882 RXO589881:RXO589882 SHK589881:SHK589882 SRG589881:SRG589882 TBC589881:TBC589882 TKY589881:TKY589882 TUU589881:TUU589882 UEQ589881:UEQ589882 UOM589881:UOM589882 UYI589881:UYI589882 VIE589881:VIE589882 VSA589881:VSA589882 WBW589881:WBW589882 WLS589881:WLS589882 WVO589881:WVO589882 G655417:G655418 JC655417:JC655418 SY655417:SY655418 ACU655417:ACU655418 AMQ655417:AMQ655418 AWM655417:AWM655418 BGI655417:BGI655418 BQE655417:BQE655418 CAA655417:CAA655418 CJW655417:CJW655418 CTS655417:CTS655418 DDO655417:DDO655418 DNK655417:DNK655418 DXG655417:DXG655418 EHC655417:EHC655418 EQY655417:EQY655418 FAU655417:FAU655418 FKQ655417:FKQ655418 FUM655417:FUM655418 GEI655417:GEI655418 GOE655417:GOE655418 GYA655417:GYA655418 HHW655417:HHW655418 HRS655417:HRS655418 IBO655417:IBO655418 ILK655417:ILK655418 IVG655417:IVG655418 JFC655417:JFC655418 JOY655417:JOY655418 JYU655417:JYU655418 KIQ655417:KIQ655418 KSM655417:KSM655418 LCI655417:LCI655418 LME655417:LME655418 LWA655417:LWA655418 MFW655417:MFW655418 MPS655417:MPS655418 MZO655417:MZO655418 NJK655417:NJK655418 NTG655417:NTG655418 ODC655417:ODC655418 OMY655417:OMY655418 OWU655417:OWU655418 PGQ655417:PGQ655418 PQM655417:PQM655418 QAI655417:QAI655418 QKE655417:QKE655418 QUA655417:QUA655418 RDW655417:RDW655418 RNS655417:RNS655418 RXO655417:RXO655418 SHK655417:SHK655418 SRG655417:SRG655418 TBC655417:TBC655418 TKY655417:TKY655418 TUU655417:TUU655418 UEQ655417:UEQ655418 UOM655417:UOM655418 UYI655417:UYI655418 VIE655417:VIE655418 VSA655417:VSA655418 WBW655417:WBW655418 WLS655417:WLS655418 WVO655417:WVO655418 G720953:G720954 JC720953:JC720954 SY720953:SY720954 ACU720953:ACU720954 AMQ720953:AMQ720954 AWM720953:AWM720954 BGI720953:BGI720954 BQE720953:BQE720954 CAA720953:CAA720954 CJW720953:CJW720954 CTS720953:CTS720954 DDO720953:DDO720954 DNK720953:DNK720954 DXG720953:DXG720954 EHC720953:EHC720954 EQY720953:EQY720954 FAU720953:FAU720954 FKQ720953:FKQ720954 FUM720953:FUM720954 GEI720953:GEI720954 GOE720953:GOE720954 GYA720953:GYA720954 HHW720953:HHW720954 HRS720953:HRS720954 IBO720953:IBO720954 ILK720953:ILK720954 IVG720953:IVG720954 JFC720953:JFC720954 JOY720953:JOY720954 JYU720953:JYU720954 KIQ720953:KIQ720954 KSM720953:KSM720954 LCI720953:LCI720954 LME720953:LME720954 LWA720953:LWA720954 MFW720953:MFW720954 MPS720953:MPS720954 MZO720953:MZO720954 NJK720953:NJK720954 NTG720953:NTG720954 ODC720953:ODC720954 OMY720953:OMY720954 OWU720953:OWU720954 PGQ720953:PGQ720954 PQM720953:PQM720954 QAI720953:QAI720954 QKE720953:QKE720954 QUA720953:QUA720954 RDW720953:RDW720954 RNS720953:RNS720954 RXO720953:RXO720954 SHK720953:SHK720954 SRG720953:SRG720954 TBC720953:TBC720954 TKY720953:TKY720954 TUU720953:TUU720954 UEQ720953:UEQ720954 UOM720953:UOM720954 UYI720953:UYI720954 VIE720953:VIE720954 VSA720953:VSA720954 WBW720953:WBW720954 WLS720953:WLS720954 WVO720953:WVO720954 G786489:G786490 JC786489:JC786490 SY786489:SY786490 ACU786489:ACU786490 AMQ786489:AMQ786490 AWM786489:AWM786490 BGI786489:BGI786490 BQE786489:BQE786490 CAA786489:CAA786490 CJW786489:CJW786490 CTS786489:CTS786490 DDO786489:DDO786490 DNK786489:DNK786490 DXG786489:DXG786490 EHC786489:EHC786490 EQY786489:EQY786490 FAU786489:FAU786490 FKQ786489:FKQ786490 FUM786489:FUM786490 GEI786489:GEI786490 GOE786489:GOE786490 GYA786489:GYA786490 HHW786489:HHW786490 HRS786489:HRS786490 IBO786489:IBO786490 ILK786489:ILK786490 IVG786489:IVG786490 JFC786489:JFC786490 JOY786489:JOY786490 JYU786489:JYU786490 KIQ786489:KIQ786490 KSM786489:KSM786490 LCI786489:LCI786490 LME786489:LME786490 LWA786489:LWA786490 MFW786489:MFW786490 MPS786489:MPS786490 MZO786489:MZO786490 NJK786489:NJK786490 NTG786489:NTG786490 ODC786489:ODC786490 OMY786489:OMY786490 OWU786489:OWU786490 PGQ786489:PGQ786490 PQM786489:PQM786490 QAI786489:QAI786490 QKE786489:QKE786490 QUA786489:QUA786490 RDW786489:RDW786490 RNS786489:RNS786490 RXO786489:RXO786490 SHK786489:SHK786490 SRG786489:SRG786490 TBC786489:TBC786490 TKY786489:TKY786490 TUU786489:TUU786490 UEQ786489:UEQ786490 UOM786489:UOM786490 UYI786489:UYI786490 VIE786489:VIE786490 VSA786489:VSA786490 WBW786489:WBW786490 WLS786489:WLS786490 WVO786489:WVO786490 G852025:G852026 JC852025:JC852026 SY852025:SY852026 ACU852025:ACU852026 AMQ852025:AMQ852026 AWM852025:AWM852026 BGI852025:BGI852026 BQE852025:BQE852026 CAA852025:CAA852026 CJW852025:CJW852026 CTS852025:CTS852026 DDO852025:DDO852026 DNK852025:DNK852026 DXG852025:DXG852026 EHC852025:EHC852026 EQY852025:EQY852026 FAU852025:FAU852026 FKQ852025:FKQ852026 FUM852025:FUM852026 GEI852025:GEI852026 GOE852025:GOE852026 GYA852025:GYA852026 HHW852025:HHW852026 HRS852025:HRS852026 IBO852025:IBO852026 ILK852025:ILK852026 IVG852025:IVG852026 JFC852025:JFC852026 JOY852025:JOY852026 JYU852025:JYU852026 KIQ852025:KIQ852026 KSM852025:KSM852026 LCI852025:LCI852026 LME852025:LME852026 LWA852025:LWA852026 MFW852025:MFW852026 MPS852025:MPS852026 MZO852025:MZO852026 NJK852025:NJK852026 NTG852025:NTG852026 ODC852025:ODC852026 OMY852025:OMY852026 OWU852025:OWU852026 PGQ852025:PGQ852026 PQM852025:PQM852026 QAI852025:QAI852026 QKE852025:QKE852026 QUA852025:QUA852026 RDW852025:RDW852026 RNS852025:RNS852026 RXO852025:RXO852026 SHK852025:SHK852026 SRG852025:SRG852026 TBC852025:TBC852026 TKY852025:TKY852026 TUU852025:TUU852026 UEQ852025:UEQ852026 UOM852025:UOM852026 UYI852025:UYI852026 VIE852025:VIE852026 VSA852025:VSA852026 WBW852025:WBW852026 WLS852025:WLS852026 WVO852025:WVO852026 G917561:G917562 JC917561:JC917562 SY917561:SY917562 ACU917561:ACU917562 AMQ917561:AMQ917562 AWM917561:AWM917562 BGI917561:BGI917562 BQE917561:BQE917562 CAA917561:CAA917562 CJW917561:CJW917562 CTS917561:CTS917562 DDO917561:DDO917562 DNK917561:DNK917562 DXG917561:DXG917562 EHC917561:EHC917562 EQY917561:EQY917562 FAU917561:FAU917562 FKQ917561:FKQ917562 FUM917561:FUM917562 GEI917561:GEI917562 GOE917561:GOE917562 GYA917561:GYA917562 HHW917561:HHW917562 HRS917561:HRS917562 IBO917561:IBO917562 ILK917561:ILK917562 IVG917561:IVG917562 JFC917561:JFC917562 JOY917561:JOY917562 JYU917561:JYU917562 KIQ917561:KIQ917562 KSM917561:KSM917562 LCI917561:LCI917562 LME917561:LME917562 LWA917561:LWA917562 MFW917561:MFW917562 MPS917561:MPS917562 MZO917561:MZO917562 NJK917561:NJK917562 NTG917561:NTG917562 ODC917561:ODC917562 OMY917561:OMY917562 OWU917561:OWU917562 PGQ917561:PGQ917562 PQM917561:PQM917562 QAI917561:QAI917562 QKE917561:QKE917562 QUA917561:QUA917562 RDW917561:RDW917562 RNS917561:RNS917562 RXO917561:RXO917562 SHK917561:SHK917562 SRG917561:SRG917562 TBC917561:TBC917562 TKY917561:TKY917562 TUU917561:TUU917562 UEQ917561:UEQ917562 UOM917561:UOM917562 UYI917561:UYI917562 VIE917561:VIE917562 VSA917561:VSA917562 WBW917561:WBW917562 WLS917561:WLS917562 WVO917561:WVO917562 G983097:G983098 JC983097:JC983098 SY983097:SY983098 ACU983097:ACU983098 AMQ983097:AMQ983098 AWM983097:AWM983098 BGI983097:BGI983098 BQE983097:BQE983098 CAA983097:CAA983098 CJW983097:CJW983098 CTS983097:CTS983098 DDO983097:DDO983098 DNK983097:DNK983098 DXG983097:DXG983098 EHC983097:EHC983098 EQY983097:EQY983098 FAU983097:FAU983098 FKQ983097:FKQ983098 FUM983097:FUM983098 GEI983097:GEI983098 GOE983097:GOE983098 GYA983097:GYA983098 HHW983097:HHW983098 HRS983097:HRS983098 IBO983097:IBO983098 ILK983097:ILK983098 IVG983097:IVG983098 JFC983097:JFC983098 JOY983097:JOY983098 JYU983097:JYU983098 KIQ983097:KIQ983098 KSM983097:KSM983098 LCI983097:LCI983098 LME983097:LME983098 LWA983097:LWA983098 MFW983097:MFW983098 MPS983097:MPS983098 MZO983097:MZO983098 NJK983097:NJK983098 NTG983097:NTG983098 ODC983097:ODC983098 OMY983097:OMY983098 OWU983097:OWU983098 PGQ983097:PGQ983098 PQM983097:PQM983098 QAI983097:QAI983098 QKE983097:QKE983098 QUA983097:QUA983098 RDW983097:RDW983098 RNS983097:RNS983098 RXO983097:RXO983098 SHK983097:SHK983098 SRG983097:SRG983098 TBC983097:TBC983098 TKY983097:TKY983098 TUU983097:TUU983098 UEQ983097:UEQ983098 UOM983097:UOM983098 UYI983097:UYI983098 VIE983097:VIE983098 VSA983097:VSA983098 WBW983097:WBW983098 WLS983097:WLS983098 WVO983097:WVO983098 G61 JC61 SY61 ACU61 AMQ61 AWM61 BGI61 BQE61 CAA61 CJW61 CTS61 DDO61 DNK61 DXG61 EHC61 EQY61 FAU61 FKQ61 FUM61 GEI61 GOE61 GYA61 HHW61 HRS61 IBO61 ILK61 IVG61 JFC61 JOY61 JYU61 KIQ61 KSM61 LCI61 LME61 LWA61 MFW61 MPS61 MZO61 NJK61 NTG61 ODC61 OMY61 OWU61 PGQ61 PQM61 QAI61 QKE61 QUA61 RDW61 RNS61 RXO61 SHK61 SRG61 TBC61 TKY61 TUU61 UEQ61 UOM61 UYI61 VIE61 VSA61 WBW61 WLS61 WVO61 G65597 JC65597 SY65597 ACU65597 AMQ65597 AWM65597 BGI65597 BQE65597 CAA65597 CJW65597 CTS65597 DDO65597 DNK65597 DXG65597 EHC65597 EQY65597 FAU65597 FKQ65597 FUM65597 GEI65597 GOE65597 GYA65597 HHW65597 HRS65597 IBO65597 ILK65597 IVG65597 JFC65597 JOY65597 JYU65597 KIQ65597 KSM65597 LCI65597 LME65597 LWA65597 MFW65597 MPS65597 MZO65597 NJK65597 NTG65597 ODC65597 OMY65597 OWU65597 PGQ65597 PQM65597 QAI65597 QKE65597 QUA65597 RDW65597 RNS65597 RXO65597 SHK65597 SRG65597 TBC65597 TKY65597 TUU65597 UEQ65597 UOM65597 UYI65597 VIE65597 VSA65597 WBW65597 WLS65597 WVO65597 G131133 JC131133 SY131133 ACU131133 AMQ131133 AWM131133 BGI131133 BQE131133 CAA131133 CJW131133 CTS131133 DDO131133 DNK131133 DXG131133 EHC131133 EQY131133 FAU131133 FKQ131133 FUM131133 GEI131133 GOE131133 GYA131133 HHW131133 HRS131133 IBO131133 ILK131133 IVG131133 JFC131133 JOY131133 JYU131133 KIQ131133 KSM131133 LCI131133 LME131133 LWA131133 MFW131133 MPS131133 MZO131133 NJK131133 NTG131133 ODC131133 OMY131133 OWU131133 PGQ131133 PQM131133 QAI131133 QKE131133 QUA131133 RDW131133 RNS131133 RXO131133 SHK131133 SRG131133 TBC131133 TKY131133 TUU131133 UEQ131133 UOM131133 UYI131133 VIE131133 VSA131133 WBW131133 WLS131133 WVO131133 G196669 JC196669 SY196669 ACU196669 AMQ196669 AWM196669 BGI196669 BQE196669 CAA196669 CJW196669 CTS196669 DDO196669 DNK196669 DXG196669 EHC196669 EQY196669 FAU196669 FKQ196669 FUM196669 GEI196669 GOE196669 GYA196669 HHW196669 HRS196669 IBO196669 ILK196669 IVG196669 JFC196669 JOY196669 JYU196669 KIQ196669 KSM196669 LCI196669 LME196669 LWA196669 MFW196669 MPS196669 MZO196669 NJK196669 NTG196669 ODC196669 OMY196669 OWU196669 PGQ196669 PQM196669 QAI196669 QKE196669 QUA196669 RDW196669 RNS196669 RXO196669 SHK196669 SRG196669 TBC196669 TKY196669 TUU196669 UEQ196669 UOM196669 UYI196669 VIE196669 VSA196669 WBW196669 WLS196669 WVO196669 G262205 JC262205 SY262205 ACU262205 AMQ262205 AWM262205 BGI262205 BQE262205 CAA262205 CJW262205 CTS262205 DDO262205 DNK262205 DXG262205 EHC262205 EQY262205 FAU262205 FKQ262205 FUM262205 GEI262205 GOE262205 GYA262205 HHW262205 HRS262205 IBO262205 ILK262205 IVG262205 JFC262205 JOY262205 JYU262205 KIQ262205 KSM262205 LCI262205 LME262205 LWA262205 MFW262205 MPS262205 MZO262205 NJK262205 NTG262205 ODC262205 OMY262205 OWU262205 PGQ262205 PQM262205 QAI262205 QKE262205 QUA262205 RDW262205 RNS262205 RXO262205 SHK262205 SRG262205 TBC262205 TKY262205 TUU262205 UEQ262205 UOM262205 UYI262205 VIE262205 VSA262205 WBW262205 WLS262205 WVO262205 G327741 JC327741 SY327741 ACU327741 AMQ327741 AWM327741 BGI327741 BQE327741 CAA327741 CJW327741 CTS327741 DDO327741 DNK327741 DXG327741 EHC327741 EQY327741 FAU327741 FKQ327741 FUM327741 GEI327741 GOE327741 GYA327741 HHW327741 HRS327741 IBO327741 ILK327741 IVG327741 JFC327741 JOY327741 JYU327741 KIQ327741 KSM327741 LCI327741 LME327741 LWA327741 MFW327741 MPS327741 MZO327741 NJK327741 NTG327741 ODC327741 OMY327741 OWU327741 PGQ327741 PQM327741 QAI327741 QKE327741 QUA327741 RDW327741 RNS327741 RXO327741 SHK327741 SRG327741 TBC327741 TKY327741 TUU327741 UEQ327741 UOM327741 UYI327741 VIE327741 VSA327741 WBW327741 WLS327741 WVO327741 G393277 JC393277 SY393277 ACU393277 AMQ393277 AWM393277 BGI393277 BQE393277 CAA393277 CJW393277 CTS393277 DDO393277 DNK393277 DXG393277 EHC393277 EQY393277 FAU393277 FKQ393277 FUM393277 GEI393277 GOE393277 GYA393277 HHW393277 HRS393277 IBO393277 ILK393277 IVG393277 JFC393277 JOY393277 JYU393277 KIQ393277 KSM393277 LCI393277 LME393277 LWA393277 MFW393277 MPS393277 MZO393277 NJK393277 NTG393277 ODC393277 OMY393277 OWU393277 PGQ393277 PQM393277 QAI393277 QKE393277 QUA393277 RDW393277 RNS393277 RXO393277 SHK393277 SRG393277 TBC393277 TKY393277 TUU393277 UEQ393277 UOM393277 UYI393277 VIE393277 VSA393277 WBW393277 WLS393277 WVO393277 G458813 JC458813 SY458813 ACU458813 AMQ458813 AWM458813 BGI458813 BQE458813 CAA458813 CJW458813 CTS458813 DDO458813 DNK458813 DXG458813 EHC458813 EQY458813 FAU458813 FKQ458813 FUM458813 GEI458813 GOE458813 GYA458813 HHW458813 HRS458813 IBO458813 ILK458813 IVG458813 JFC458813 JOY458813 JYU458813 KIQ458813 KSM458813 LCI458813 LME458813 LWA458813 MFW458813 MPS458813 MZO458813 NJK458813 NTG458813 ODC458813 OMY458813 OWU458813 PGQ458813 PQM458813 QAI458813 QKE458813 QUA458813 RDW458813 RNS458813 RXO458813 SHK458813 SRG458813 TBC458813 TKY458813 TUU458813 UEQ458813 UOM458813 UYI458813 VIE458813 VSA458813 WBW458813 WLS458813 WVO458813 G524349 JC524349 SY524349 ACU524349 AMQ524349 AWM524349 BGI524349 BQE524349 CAA524349 CJW524349 CTS524349 DDO524349 DNK524349 DXG524349 EHC524349 EQY524349 FAU524349 FKQ524349 FUM524349 GEI524349 GOE524349 GYA524349 HHW524349 HRS524349 IBO524349 ILK524349 IVG524349 JFC524349 JOY524349 JYU524349 KIQ524349 KSM524349 LCI524349 LME524349 LWA524349 MFW524349 MPS524349 MZO524349 NJK524349 NTG524349 ODC524349 OMY524349 OWU524349 PGQ524349 PQM524349 QAI524349 QKE524349 QUA524349 RDW524349 RNS524349 RXO524349 SHK524349 SRG524349 TBC524349 TKY524349 TUU524349 UEQ524349 UOM524349 UYI524349 VIE524349 VSA524349 WBW524349 WLS524349 WVO524349 G589885 JC589885 SY589885 ACU589885 AMQ589885 AWM589885 BGI589885 BQE589885 CAA589885 CJW589885 CTS589885 DDO589885 DNK589885 DXG589885 EHC589885 EQY589885 FAU589885 FKQ589885 FUM589885 GEI589885 GOE589885 GYA589885 HHW589885 HRS589885 IBO589885 ILK589885 IVG589885 JFC589885 JOY589885 JYU589885 KIQ589885 KSM589885 LCI589885 LME589885 LWA589885 MFW589885 MPS589885 MZO589885 NJK589885 NTG589885 ODC589885 OMY589885 OWU589885 PGQ589885 PQM589885 QAI589885 QKE589885 QUA589885 RDW589885 RNS589885 RXO589885 SHK589885 SRG589885 TBC589885 TKY589885 TUU589885 UEQ589885 UOM589885 UYI589885 VIE589885 VSA589885 WBW589885 WLS589885 WVO589885 G655421 JC655421 SY655421 ACU655421 AMQ655421 AWM655421 BGI655421 BQE655421 CAA655421 CJW655421 CTS655421 DDO655421 DNK655421 DXG655421 EHC655421 EQY655421 FAU655421 FKQ655421 FUM655421 GEI655421 GOE655421 GYA655421 HHW655421 HRS655421 IBO655421 ILK655421 IVG655421 JFC655421 JOY655421 JYU655421 KIQ655421 KSM655421 LCI655421 LME655421 LWA655421 MFW655421 MPS655421 MZO655421 NJK655421 NTG655421 ODC655421 OMY655421 OWU655421 PGQ655421 PQM655421 QAI655421 QKE655421 QUA655421 RDW655421 RNS655421 RXO655421 SHK655421 SRG655421 TBC655421 TKY655421 TUU655421 UEQ655421 UOM655421 UYI655421 VIE655421 VSA655421 WBW655421 WLS655421 WVO655421 G720957 JC720957 SY720957 ACU720957 AMQ720957 AWM720957 BGI720957 BQE720957 CAA720957 CJW720957 CTS720957 DDO720957 DNK720957 DXG720957 EHC720957 EQY720957 FAU720957 FKQ720957 FUM720957 GEI720957 GOE720957 GYA720957 HHW720957 HRS720957 IBO720957 ILK720957 IVG720957 JFC720957 JOY720957 JYU720957 KIQ720957 KSM720957 LCI720957 LME720957 LWA720957 MFW720957 MPS720957 MZO720957 NJK720957 NTG720957 ODC720957 OMY720957 OWU720957 PGQ720957 PQM720957 QAI720957 QKE720957 QUA720957 RDW720957 RNS720957 RXO720957 SHK720957 SRG720957 TBC720957 TKY720957 TUU720957 UEQ720957 UOM720957 UYI720957 VIE720957 VSA720957 WBW720957 WLS720957 WVO720957 G786493 JC786493 SY786493 ACU786493 AMQ786493 AWM786493 BGI786493 BQE786493 CAA786493 CJW786493 CTS786493 DDO786493 DNK786493 DXG786493 EHC786493 EQY786493 FAU786493 FKQ786493 FUM786493 GEI786493 GOE786493 GYA786493 HHW786493 HRS786493 IBO786493 ILK786493 IVG786493 JFC786493 JOY786493 JYU786493 KIQ786493 KSM786493 LCI786493 LME786493 LWA786493 MFW786493 MPS786493 MZO786493 NJK786493 NTG786493 ODC786493 OMY786493 OWU786493 PGQ786493 PQM786493 QAI786493 QKE786493 QUA786493 RDW786493 RNS786493 RXO786493 SHK786493 SRG786493 TBC786493 TKY786493 TUU786493 UEQ786493 UOM786493 UYI786493 VIE786493 VSA786493 WBW786493 WLS786493 WVO786493 G852029 JC852029 SY852029 ACU852029 AMQ852029 AWM852029 BGI852029 BQE852029 CAA852029 CJW852029 CTS852029 DDO852029 DNK852029 DXG852029 EHC852029 EQY852029 FAU852029 FKQ852029 FUM852029 GEI852029 GOE852029 GYA852029 HHW852029 HRS852029 IBO852029 ILK852029 IVG852029 JFC852029 JOY852029 JYU852029 KIQ852029 KSM852029 LCI852029 LME852029 LWA852029 MFW852029 MPS852029 MZO852029 NJK852029 NTG852029 ODC852029 OMY852029 OWU852029 PGQ852029 PQM852029 QAI852029 QKE852029 QUA852029 RDW852029 RNS852029 RXO852029 SHK852029 SRG852029 TBC852029 TKY852029 TUU852029 UEQ852029 UOM852029 UYI852029 VIE852029 VSA852029 WBW852029 WLS852029 WVO852029 G917565 JC917565 SY917565 ACU917565 AMQ917565 AWM917565 BGI917565 BQE917565 CAA917565 CJW917565 CTS917565 DDO917565 DNK917565 DXG917565 EHC917565 EQY917565 FAU917565 FKQ917565 FUM917565 GEI917565 GOE917565 GYA917565 HHW917565 HRS917565 IBO917565 ILK917565 IVG917565 JFC917565 JOY917565 JYU917565 KIQ917565 KSM917565 LCI917565 LME917565 LWA917565 MFW917565 MPS917565 MZO917565 NJK917565 NTG917565 ODC917565 OMY917565 OWU917565 PGQ917565 PQM917565 QAI917565 QKE917565 QUA917565 RDW917565 RNS917565 RXO917565 SHK917565 SRG917565 TBC917565 TKY917565 TUU917565 UEQ917565 UOM917565 UYI917565 VIE917565 VSA917565 WBW917565 WLS917565 WVO917565 G983101 JC983101 SY983101 ACU983101 AMQ983101 AWM983101 BGI983101 BQE983101 CAA983101 CJW983101 CTS983101 DDO983101 DNK983101 DXG983101 EHC983101 EQY983101 FAU983101 FKQ983101 FUM983101 GEI983101 GOE983101 GYA983101 HHW983101 HRS983101 IBO983101 ILK983101 IVG983101 JFC983101 JOY983101 JYU983101 KIQ983101 KSM983101 LCI983101 LME983101 LWA983101 MFW983101 MPS983101 MZO983101 NJK983101 NTG983101 ODC983101 OMY983101 OWU983101 PGQ983101 PQM983101 QAI983101 QKE983101 QUA983101 RDW983101 RNS983101 RXO983101 SHK983101 SRG983101 TBC983101 TKY983101 TUU983101 UEQ983101 UOM983101 UYI983101 VIE983101 VSA983101 WBW983101 WLS983101 WVO983101 G74:G75 JC74:JC75 SY74:SY75 ACU74:ACU75 AMQ74:AMQ75 AWM74:AWM75 BGI74:BGI75 BQE74:BQE75 CAA74:CAA75 CJW74:CJW75 CTS74:CTS75 DDO74:DDO75 DNK74:DNK75 DXG74:DXG75 EHC74:EHC75 EQY74:EQY75 FAU74:FAU75 FKQ74:FKQ75 FUM74:FUM75 GEI74:GEI75 GOE74:GOE75 GYA74:GYA75 HHW74:HHW75 HRS74:HRS75 IBO74:IBO75 ILK74:ILK75 IVG74:IVG75 JFC74:JFC75 JOY74:JOY75 JYU74:JYU75 KIQ74:KIQ75 KSM74:KSM75 LCI74:LCI75 LME74:LME75 LWA74:LWA75 MFW74:MFW75 MPS74:MPS75 MZO74:MZO75 NJK74:NJK75 NTG74:NTG75 ODC74:ODC75 OMY74:OMY75 OWU74:OWU75 PGQ74:PGQ75 PQM74:PQM75 QAI74:QAI75 QKE74:QKE75 QUA74:QUA75 RDW74:RDW75 RNS74:RNS75 RXO74:RXO75 SHK74:SHK75 SRG74:SRG75 TBC74:TBC75 TKY74:TKY75 TUU74:TUU75 UEQ74:UEQ75 UOM74:UOM75 UYI74:UYI75 VIE74:VIE75 VSA74:VSA75 WBW74:WBW75 WLS74:WLS75 WVO74:WVO75 G65610:G65611 JC65610:JC65611 SY65610:SY65611 ACU65610:ACU65611 AMQ65610:AMQ65611 AWM65610:AWM65611 BGI65610:BGI65611 BQE65610:BQE65611 CAA65610:CAA65611 CJW65610:CJW65611 CTS65610:CTS65611 DDO65610:DDO65611 DNK65610:DNK65611 DXG65610:DXG65611 EHC65610:EHC65611 EQY65610:EQY65611 FAU65610:FAU65611 FKQ65610:FKQ65611 FUM65610:FUM65611 GEI65610:GEI65611 GOE65610:GOE65611 GYA65610:GYA65611 HHW65610:HHW65611 HRS65610:HRS65611 IBO65610:IBO65611 ILK65610:ILK65611 IVG65610:IVG65611 JFC65610:JFC65611 JOY65610:JOY65611 JYU65610:JYU65611 KIQ65610:KIQ65611 KSM65610:KSM65611 LCI65610:LCI65611 LME65610:LME65611 LWA65610:LWA65611 MFW65610:MFW65611 MPS65610:MPS65611 MZO65610:MZO65611 NJK65610:NJK65611 NTG65610:NTG65611 ODC65610:ODC65611 OMY65610:OMY65611 OWU65610:OWU65611 PGQ65610:PGQ65611 PQM65610:PQM65611 QAI65610:QAI65611 QKE65610:QKE65611 QUA65610:QUA65611 RDW65610:RDW65611 RNS65610:RNS65611 RXO65610:RXO65611 SHK65610:SHK65611 SRG65610:SRG65611 TBC65610:TBC65611 TKY65610:TKY65611 TUU65610:TUU65611 UEQ65610:UEQ65611 UOM65610:UOM65611 UYI65610:UYI65611 VIE65610:VIE65611 VSA65610:VSA65611 WBW65610:WBW65611 WLS65610:WLS65611 WVO65610:WVO65611 G131146:G131147 JC131146:JC131147 SY131146:SY131147 ACU131146:ACU131147 AMQ131146:AMQ131147 AWM131146:AWM131147 BGI131146:BGI131147 BQE131146:BQE131147 CAA131146:CAA131147 CJW131146:CJW131147 CTS131146:CTS131147 DDO131146:DDO131147 DNK131146:DNK131147 DXG131146:DXG131147 EHC131146:EHC131147 EQY131146:EQY131147 FAU131146:FAU131147 FKQ131146:FKQ131147 FUM131146:FUM131147 GEI131146:GEI131147 GOE131146:GOE131147 GYA131146:GYA131147 HHW131146:HHW131147 HRS131146:HRS131147 IBO131146:IBO131147 ILK131146:ILK131147 IVG131146:IVG131147 JFC131146:JFC131147 JOY131146:JOY131147 JYU131146:JYU131147 KIQ131146:KIQ131147 KSM131146:KSM131147 LCI131146:LCI131147 LME131146:LME131147 LWA131146:LWA131147 MFW131146:MFW131147 MPS131146:MPS131147 MZO131146:MZO131147 NJK131146:NJK131147 NTG131146:NTG131147 ODC131146:ODC131147 OMY131146:OMY131147 OWU131146:OWU131147 PGQ131146:PGQ131147 PQM131146:PQM131147 QAI131146:QAI131147 QKE131146:QKE131147 QUA131146:QUA131147 RDW131146:RDW131147 RNS131146:RNS131147 RXO131146:RXO131147 SHK131146:SHK131147 SRG131146:SRG131147 TBC131146:TBC131147 TKY131146:TKY131147 TUU131146:TUU131147 UEQ131146:UEQ131147 UOM131146:UOM131147 UYI131146:UYI131147 VIE131146:VIE131147 VSA131146:VSA131147 WBW131146:WBW131147 WLS131146:WLS131147 WVO131146:WVO131147 G196682:G196683 JC196682:JC196683 SY196682:SY196683 ACU196682:ACU196683 AMQ196682:AMQ196683 AWM196682:AWM196683 BGI196682:BGI196683 BQE196682:BQE196683 CAA196682:CAA196683 CJW196682:CJW196683 CTS196682:CTS196683 DDO196682:DDO196683 DNK196682:DNK196683 DXG196682:DXG196683 EHC196682:EHC196683 EQY196682:EQY196683 FAU196682:FAU196683 FKQ196682:FKQ196683 FUM196682:FUM196683 GEI196682:GEI196683 GOE196682:GOE196683 GYA196682:GYA196683 HHW196682:HHW196683 HRS196682:HRS196683 IBO196682:IBO196683 ILK196682:ILK196683 IVG196682:IVG196683 JFC196682:JFC196683 JOY196682:JOY196683 JYU196682:JYU196683 KIQ196682:KIQ196683 KSM196682:KSM196683 LCI196682:LCI196683 LME196682:LME196683 LWA196682:LWA196683 MFW196682:MFW196683 MPS196682:MPS196683 MZO196682:MZO196683 NJK196682:NJK196683 NTG196682:NTG196683 ODC196682:ODC196683 OMY196682:OMY196683 OWU196682:OWU196683 PGQ196682:PGQ196683 PQM196682:PQM196683 QAI196682:QAI196683 QKE196682:QKE196683 QUA196682:QUA196683 RDW196682:RDW196683 RNS196682:RNS196683 RXO196682:RXO196683 SHK196682:SHK196683 SRG196682:SRG196683 TBC196682:TBC196683 TKY196682:TKY196683 TUU196682:TUU196683 UEQ196682:UEQ196683 UOM196682:UOM196683 UYI196682:UYI196683 VIE196682:VIE196683 VSA196682:VSA196683 WBW196682:WBW196683 WLS196682:WLS196683 WVO196682:WVO196683 G262218:G262219 JC262218:JC262219 SY262218:SY262219 ACU262218:ACU262219 AMQ262218:AMQ262219 AWM262218:AWM262219 BGI262218:BGI262219 BQE262218:BQE262219 CAA262218:CAA262219 CJW262218:CJW262219 CTS262218:CTS262219 DDO262218:DDO262219 DNK262218:DNK262219 DXG262218:DXG262219 EHC262218:EHC262219 EQY262218:EQY262219 FAU262218:FAU262219 FKQ262218:FKQ262219 FUM262218:FUM262219 GEI262218:GEI262219 GOE262218:GOE262219 GYA262218:GYA262219 HHW262218:HHW262219 HRS262218:HRS262219 IBO262218:IBO262219 ILK262218:ILK262219 IVG262218:IVG262219 JFC262218:JFC262219 JOY262218:JOY262219 JYU262218:JYU262219 KIQ262218:KIQ262219 KSM262218:KSM262219 LCI262218:LCI262219 LME262218:LME262219 LWA262218:LWA262219 MFW262218:MFW262219 MPS262218:MPS262219 MZO262218:MZO262219 NJK262218:NJK262219 NTG262218:NTG262219 ODC262218:ODC262219 OMY262218:OMY262219 OWU262218:OWU262219 PGQ262218:PGQ262219 PQM262218:PQM262219 QAI262218:QAI262219 QKE262218:QKE262219 QUA262218:QUA262219 RDW262218:RDW262219 RNS262218:RNS262219 RXO262218:RXO262219 SHK262218:SHK262219 SRG262218:SRG262219 TBC262218:TBC262219 TKY262218:TKY262219 TUU262218:TUU262219 UEQ262218:UEQ262219 UOM262218:UOM262219 UYI262218:UYI262219 VIE262218:VIE262219 VSA262218:VSA262219 WBW262218:WBW262219 WLS262218:WLS262219 WVO262218:WVO262219 G327754:G327755 JC327754:JC327755 SY327754:SY327755 ACU327754:ACU327755 AMQ327754:AMQ327755 AWM327754:AWM327755 BGI327754:BGI327755 BQE327754:BQE327755 CAA327754:CAA327755 CJW327754:CJW327755 CTS327754:CTS327755 DDO327754:DDO327755 DNK327754:DNK327755 DXG327754:DXG327755 EHC327754:EHC327755 EQY327754:EQY327755 FAU327754:FAU327755 FKQ327754:FKQ327755 FUM327754:FUM327755 GEI327754:GEI327755 GOE327754:GOE327755 GYA327754:GYA327755 HHW327754:HHW327755 HRS327754:HRS327755 IBO327754:IBO327755 ILK327754:ILK327755 IVG327754:IVG327755 JFC327754:JFC327755 JOY327754:JOY327755 JYU327754:JYU327755 KIQ327754:KIQ327755 KSM327754:KSM327755 LCI327754:LCI327755 LME327754:LME327755 LWA327754:LWA327755 MFW327754:MFW327755 MPS327754:MPS327755 MZO327754:MZO327755 NJK327754:NJK327755 NTG327754:NTG327755 ODC327754:ODC327755 OMY327754:OMY327755 OWU327754:OWU327755 PGQ327754:PGQ327755 PQM327754:PQM327755 QAI327754:QAI327755 QKE327754:QKE327755 QUA327754:QUA327755 RDW327754:RDW327755 RNS327754:RNS327755 RXO327754:RXO327755 SHK327754:SHK327755 SRG327754:SRG327755 TBC327754:TBC327755 TKY327754:TKY327755 TUU327754:TUU327755 UEQ327754:UEQ327755 UOM327754:UOM327755 UYI327754:UYI327755 VIE327754:VIE327755 VSA327754:VSA327755 WBW327754:WBW327755 WLS327754:WLS327755 WVO327754:WVO327755 G393290:G393291 JC393290:JC393291 SY393290:SY393291 ACU393290:ACU393291 AMQ393290:AMQ393291 AWM393290:AWM393291 BGI393290:BGI393291 BQE393290:BQE393291 CAA393290:CAA393291 CJW393290:CJW393291 CTS393290:CTS393291 DDO393290:DDO393291 DNK393290:DNK393291 DXG393290:DXG393291 EHC393290:EHC393291 EQY393290:EQY393291 FAU393290:FAU393291 FKQ393290:FKQ393291 FUM393290:FUM393291 GEI393290:GEI393291 GOE393290:GOE393291 GYA393290:GYA393291 HHW393290:HHW393291 HRS393290:HRS393291 IBO393290:IBO393291 ILK393290:ILK393291 IVG393290:IVG393291 JFC393290:JFC393291 JOY393290:JOY393291 JYU393290:JYU393291 KIQ393290:KIQ393291 KSM393290:KSM393291 LCI393290:LCI393291 LME393290:LME393291 LWA393290:LWA393291 MFW393290:MFW393291 MPS393290:MPS393291 MZO393290:MZO393291 NJK393290:NJK393291 NTG393290:NTG393291 ODC393290:ODC393291 OMY393290:OMY393291 OWU393290:OWU393291 PGQ393290:PGQ393291 PQM393290:PQM393291 QAI393290:QAI393291 QKE393290:QKE393291 QUA393290:QUA393291 RDW393290:RDW393291 RNS393290:RNS393291 RXO393290:RXO393291 SHK393290:SHK393291 SRG393290:SRG393291 TBC393290:TBC393291 TKY393290:TKY393291 TUU393290:TUU393291 UEQ393290:UEQ393291 UOM393290:UOM393291 UYI393290:UYI393291 VIE393290:VIE393291 VSA393290:VSA393291 WBW393290:WBW393291 WLS393290:WLS393291 WVO393290:WVO393291 G458826:G458827 JC458826:JC458827 SY458826:SY458827 ACU458826:ACU458827 AMQ458826:AMQ458827 AWM458826:AWM458827 BGI458826:BGI458827 BQE458826:BQE458827 CAA458826:CAA458827 CJW458826:CJW458827 CTS458826:CTS458827 DDO458826:DDO458827 DNK458826:DNK458827 DXG458826:DXG458827 EHC458826:EHC458827 EQY458826:EQY458827 FAU458826:FAU458827 FKQ458826:FKQ458827 FUM458826:FUM458827 GEI458826:GEI458827 GOE458826:GOE458827 GYA458826:GYA458827 HHW458826:HHW458827 HRS458826:HRS458827 IBO458826:IBO458827 ILK458826:ILK458827 IVG458826:IVG458827 JFC458826:JFC458827 JOY458826:JOY458827 JYU458826:JYU458827 KIQ458826:KIQ458827 KSM458826:KSM458827 LCI458826:LCI458827 LME458826:LME458827 LWA458826:LWA458827 MFW458826:MFW458827 MPS458826:MPS458827 MZO458826:MZO458827 NJK458826:NJK458827 NTG458826:NTG458827 ODC458826:ODC458827 OMY458826:OMY458827 OWU458826:OWU458827 PGQ458826:PGQ458827 PQM458826:PQM458827 QAI458826:QAI458827 QKE458826:QKE458827 QUA458826:QUA458827 RDW458826:RDW458827 RNS458826:RNS458827 RXO458826:RXO458827 SHK458826:SHK458827 SRG458826:SRG458827 TBC458826:TBC458827 TKY458826:TKY458827 TUU458826:TUU458827 UEQ458826:UEQ458827 UOM458826:UOM458827 UYI458826:UYI458827 VIE458826:VIE458827 VSA458826:VSA458827 WBW458826:WBW458827 WLS458826:WLS458827 WVO458826:WVO458827 G524362:G524363 JC524362:JC524363 SY524362:SY524363 ACU524362:ACU524363 AMQ524362:AMQ524363 AWM524362:AWM524363 BGI524362:BGI524363 BQE524362:BQE524363 CAA524362:CAA524363 CJW524362:CJW524363 CTS524362:CTS524363 DDO524362:DDO524363 DNK524362:DNK524363 DXG524362:DXG524363 EHC524362:EHC524363 EQY524362:EQY524363 FAU524362:FAU524363 FKQ524362:FKQ524363 FUM524362:FUM524363 GEI524362:GEI524363 GOE524362:GOE524363 GYA524362:GYA524363 HHW524362:HHW524363 HRS524362:HRS524363 IBO524362:IBO524363 ILK524362:ILK524363 IVG524362:IVG524363 JFC524362:JFC524363 JOY524362:JOY524363 JYU524362:JYU524363 KIQ524362:KIQ524363 KSM524362:KSM524363 LCI524362:LCI524363 LME524362:LME524363 LWA524362:LWA524363 MFW524362:MFW524363 MPS524362:MPS524363 MZO524362:MZO524363 NJK524362:NJK524363 NTG524362:NTG524363 ODC524362:ODC524363 OMY524362:OMY524363 OWU524362:OWU524363 PGQ524362:PGQ524363 PQM524362:PQM524363 QAI524362:QAI524363 QKE524362:QKE524363 QUA524362:QUA524363 RDW524362:RDW524363 RNS524362:RNS524363 RXO524362:RXO524363 SHK524362:SHK524363 SRG524362:SRG524363 TBC524362:TBC524363 TKY524362:TKY524363 TUU524362:TUU524363 UEQ524362:UEQ524363 UOM524362:UOM524363 UYI524362:UYI524363 VIE524362:VIE524363 VSA524362:VSA524363 WBW524362:WBW524363 WLS524362:WLS524363 WVO524362:WVO524363 G589898:G589899 JC589898:JC589899 SY589898:SY589899 ACU589898:ACU589899 AMQ589898:AMQ589899 AWM589898:AWM589899 BGI589898:BGI589899 BQE589898:BQE589899 CAA589898:CAA589899 CJW589898:CJW589899 CTS589898:CTS589899 DDO589898:DDO589899 DNK589898:DNK589899 DXG589898:DXG589899 EHC589898:EHC589899 EQY589898:EQY589899 FAU589898:FAU589899 FKQ589898:FKQ589899 FUM589898:FUM589899 GEI589898:GEI589899 GOE589898:GOE589899 GYA589898:GYA589899 HHW589898:HHW589899 HRS589898:HRS589899 IBO589898:IBO589899 ILK589898:ILK589899 IVG589898:IVG589899 JFC589898:JFC589899 JOY589898:JOY589899 JYU589898:JYU589899 KIQ589898:KIQ589899 KSM589898:KSM589899 LCI589898:LCI589899 LME589898:LME589899 LWA589898:LWA589899 MFW589898:MFW589899 MPS589898:MPS589899 MZO589898:MZO589899 NJK589898:NJK589899 NTG589898:NTG589899 ODC589898:ODC589899 OMY589898:OMY589899 OWU589898:OWU589899 PGQ589898:PGQ589899 PQM589898:PQM589899 QAI589898:QAI589899 QKE589898:QKE589899 QUA589898:QUA589899 RDW589898:RDW589899 RNS589898:RNS589899 RXO589898:RXO589899 SHK589898:SHK589899 SRG589898:SRG589899 TBC589898:TBC589899 TKY589898:TKY589899 TUU589898:TUU589899 UEQ589898:UEQ589899 UOM589898:UOM589899 UYI589898:UYI589899 VIE589898:VIE589899 VSA589898:VSA589899 WBW589898:WBW589899 WLS589898:WLS589899 WVO589898:WVO589899 G655434:G655435 JC655434:JC655435 SY655434:SY655435 ACU655434:ACU655435 AMQ655434:AMQ655435 AWM655434:AWM655435 BGI655434:BGI655435 BQE655434:BQE655435 CAA655434:CAA655435 CJW655434:CJW655435 CTS655434:CTS655435 DDO655434:DDO655435 DNK655434:DNK655435 DXG655434:DXG655435 EHC655434:EHC655435 EQY655434:EQY655435 FAU655434:FAU655435 FKQ655434:FKQ655435 FUM655434:FUM655435 GEI655434:GEI655435 GOE655434:GOE655435 GYA655434:GYA655435 HHW655434:HHW655435 HRS655434:HRS655435 IBO655434:IBO655435 ILK655434:ILK655435 IVG655434:IVG655435 JFC655434:JFC655435 JOY655434:JOY655435 JYU655434:JYU655435 KIQ655434:KIQ655435 KSM655434:KSM655435 LCI655434:LCI655435 LME655434:LME655435 LWA655434:LWA655435 MFW655434:MFW655435 MPS655434:MPS655435 MZO655434:MZO655435 NJK655434:NJK655435 NTG655434:NTG655435 ODC655434:ODC655435 OMY655434:OMY655435 OWU655434:OWU655435 PGQ655434:PGQ655435 PQM655434:PQM655435 QAI655434:QAI655435 QKE655434:QKE655435 QUA655434:QUA655435 RDW655434:RDW655435 RNS655434:RNS655435 RXO655434:RXO655435 SHK655434:SHK655435 SRG655434:SRG655435 TBC655434:TBC655435 TKY655434:TKY655435 TUU655434:TUU655435 UEQ655434:UEQ655435 UOM655434:UOM655435 UYI655434:UYI655435 VIE655434:VIE655435 VSA655434:VSA655435 WBW655434:WBW655435 WLS655434:WLS655435 WVO655434:WVO655435 G720970:G720971 JC720970:JC720971 SY720970:SY720971 ACU720970:ACU720971 AMQ720970:AMQ720971 AWM720970:AWM720971 BGI720970:BGI720971 BQE720970:BQE720971 CAA720970:CAA720971 CJW720970:CJW720971 CTS720970:CTS720971 DDO720970:DDO720971 DNK720970:DNK720971 DXG720970:DXG720971 EHC720970:EHC720971 EQY720970:EQY720971 FAU720970:FAU720971 FKQ720970:FKQ720971 FUM720970:FUM720971 GEI720970:GEI720971 GOE720970:GOE720971 GYA720970:GYA720971 HHW720970:HHW720971 HRS720970:HRS720971 IBO720970:IBO720971 ILK720970:ILK720971 IVG720970:IVG720971 JFC720970:JFC720971 JOY720970:JOY720971 JYU720970:JYU720971 KIQ720970:KIQ720971 KSM720970:KSM720971 LCI720970:LCI720971 LME720970:LME720971 LWA720970:LWA720971 MFW720970:MFW720971 MPS720970:MPS720971 MZO720970:MZO720971 NJK720970:NJK720971 NTG720970:NTG720971 ODC720970:ODC720971 OMY720970:OMY720971 OWU720970:OWU720971 PGQ720970:PGQ720971 PQM720970:PQM720971 QAI720970:QAI720971 QKE720970:QKE720971 QUA720970:QUA720971 RDW720970:RDW720971 RNS720970:RNS720971 RXO720970:RXO720971 SHK720970:SHK720971 SRG720970:SRG720971 TBC720970:TBC720971 TKY720970:TKY720971 TUU720970:TUU720971 UEQ720970:UEQ720971 UOM720970:UOM720971 UYI720970:UYI720971 VIE720970:VIE720971 VSA720970:VSA720971 WBW720970:WBW720971 WLS720970:WLS720971 WVO720970:WVO720971 G786506:G786507 JC786506:JC786507 SY786506:SY786507 ACU786506:ACU786507 AMQ786506:AMQ786507 AWM786506:AWM786507 BGI786506:BGI786507 BQE786506:BQE786507 CAA786506:CAA786507 CJW786506:CJW786507 CTS786506:CTS786507 DDO786506:DDO786507 DNK786506:DNK786507 DXG786506:DXG786507 EHC786506:EHC786507 EQY786506:EQY786507 FAU786506:FAU786507 FKQ786506:FKQ786507 FUM786506:FUM786507 GEI786506:GEI786507 GOE786506:GOE786507 GYA786506:GYA786507 HHW786506:HHW786507 HRS786506:HRS786507 IBO786506:IBO786507 ILK786506:ILK786507 IVG786506:IVG786507 JFC786506:JFC786507 JOY786506:JOY786507 JYU786506:JYU786507 KIQ786506:KIQ786507 KSM786506:KSM786507 LCI786506:LCI786507 LME786506:LME786507 LWA786506:LWA786507 MFW786506:MFW786507 MPS786506:MPS786507 MZO786506:MZO786507 NJK786506:NJK786507 NTG786506:NTG786507 ODC786506:ODC786507 OMY786506:OMY786507 OWU786506:OWU786507 PGQ786506:PGQ786507 PQM786506:PQM786507 QAI786506:QAI786507 QKE786506:QKE786507 QUA786506:QUA786507 RDW786506:RDW786507 RNS786506:RNS786507 RXO786506:RXO786507 SHK786506:SHK786507 SRG786506:SRG786507 TBC786506:TBC786507 TKY786506:TKY786507 TUU786506:TUU786507 UEQ786506:UEQ786507 UOM786506:UOM786507 UYI786506:UYI786507 VIE786506:VIE786507 VSA786506:VSA786507 WBW786506:WBW786507 WLS786506:WLS786507 WVO786506:WVO786507 G852042:G852043 JC852042:JC852043 SY852042:SY852043 ACU852042:ACU852043 AMQ852042:AMQ852043 AWM852042:AWM852043 BGI852042:BGI852043 BQE852042:BQE852043 CAA852042:CAA852043 CJW852042:CJW852043 CTS852042:CTS852043 DDO852042:DDO852043 DNK852042:DNK852043 DXG852042:DXG852043 EHC852042:EHC852043 EQY852042:EQY852043 FAU852042:FAU852043 FKQ852042:FKQ852043 FUM852042:FUM852043 GEI852042:GEI852043 GOE852042:GOE852043 GYA852042:GYA852043 HHW852042:HHW852043 HRS852042:HRS852043 IBO852042:IBO852043 ILK852042:ILK852043 IVG852042:IVG852043 JFC852042:JFC852043 JOY852042:JOY852043 JYU852042:JYU852043 KIQ852042:KIQ852043 KSM852042:KSM852043 LCI852042:LCI852043 LME852042:LME852043 LWA852042:LWA852043 MFW852042:MFW852043 MPS852042:MPS852043 MZO852042:MZO852043 NJK852042:NJK852043 NTG852042:NTG852043 ODC852042:ODC852043 OMY852042:OMY852043 OWU852042:OWU852043 PGQ852042:PGQ852043 PQM852042:PQM852043 QAI852042:QAI852043 QKE852042:QKE852043 QUA852042:QUA852043 RDW852042:RDW852043 RNS852042:RNS852043 RXO852042:RXO852043 SHK852042:SHK852043 SRG852042:SRG852043 TBC852042:TBC852043 TKY852042:TKY852043 TUU852042:TUU852043 UEQ852042:UEQ852043 UOM852042:UOM852043 UYI852042:UYI852043 VIE852042:VIE852043 VSA852042:VSA852043 WBW852042:WBW852043 WLS852042:WLS852043 WVO852042:WVO852043 G917578:G917579 JC917578:JC917579 SY917578:SY917579 ACU917578:ACU917579 AMQ917578:AMQ917579 AWM917578:AWM917579 BGI917578:BGI917579 BQE917578:BQE917579 CAA917578:CAA917579 CJW917578:CJW917579 CTS917578:CTS917579 DDO917578:DDO917579 DNK917578:DNK917579 DXG917578:DXG917579 EHC917578:EHC917579 EQY917578:EQY917579 FAU917578:FAU917579 FKQ917578:FKQ917579 FUM917578:FUM917579 GEI917578:GEI917579 GOE917578:GOE917579 GYA917578:GYA917579 HHW917578:HHW917579 HRS917578:HRS917579 IBO917578:IBO917579 ILK917578:ILK917579 IVG917578:IVG917579 JFC917578:JFC917579 JOY917578:JOY917579 JYU917578:JYU917579 KIQ917578:KIQ917579 KSM917578:KSM917579 LCI917578:LCI917579 LME917578:LME917579 LWA917578:LWA917579 MFW917578:MFW917579 MPS917578:MPS917579 MZO917578:MZO917579 NJK917578:NJK917579 NTG917578:NTG917579 ODC917578:ODC917579 OMY917578:OMY917579 OWU917578:OWU917579 PGQ917578:PGQ917579 PQM917578:PQM917579 QAI917578:QAI917579 QKE917578:QKE917579 QUA917578:QUA917579 RDW917578:RDW917579 RNS917578:RNS917579 RXO917578:RXO917579 SHK917578:SHK917579 SRG917578:SRG917579 TBC917578:TBC917579 TKY917578:TKY917579 TUU917578:TUU917579 UEQ917578:UEQ917579 UOM917578:UOM917579 UYI917578:UYI917579 VIE917578:VIE917579 VSA917578:VSA917579 WBW917578:WBW917579 WLS917578:WLS917579 WVO917578:WVO917579 G983114:G983115 JC983114:JC983115 SY983114:SY983115 ACU983114:ACU983115 AMQ983114:AMQ983115 AWM983114:AWM983115 BGI983114:BGI983115 BQE983114:BQE983115 CAA983114:CAA983115 CJW983114:CJW983115 CTS983114:CTS983115 DDO983114:DDO983115 DNK983114:DNK983115 DXG983114:DXG983115 EHC983114:EHC983115 EQY983114:EQY983115 FAU983114:FAU983115 FKQ983114:FKQ983115 FUM983114:FUM983115 GEI983114:GEI983115 GOE983114:GOE983115 GYA983114:GYA983115 HHW983114:HHW983115 HRS983114:HRS983115 IBO983114:IBO983115 ILK983114:ILK983115 IVG983114:IVG983115 JFC983114:JFC983115 JOY983114:JOY983115 JYU983114:JYU983115 KIQ983114:KIQ983115 KSM983114:KSM983115 LCI983114:LCI983115 LME983114:LME983115 LWA983114:LWA983115 MFW983114:MFW983115 MPS983114:MPS983115 MZO983114:MZO983115 NJK983114:NJK983115 NTG983114:NTG983115 ODC983114:ODC983115 OMY983114:OMY983115 OWU983114:OWU983115 PGQ983114:PGQ983115 PQM983114:PQM983115 QAI983114:QAI983115 QKE983114:QKE983115 QUA983114:QUA983115 RDW983114:RDW983115 RNS983114:RNS983115 RXO983114:RXO983115 SHK983114:SHK983115 SRG983114:SRG983115 TBC983114:TBC983115 TKY983114:TKY983115 TUU983114:TUU983115 UEQ983114:UEQ983115 UOM983114:UOM983115 UYI983114:UYI983115 VIE983114:VIE983115 VSA983114:VSA983115 WBW983114:WBW983115 WLS983114:WLS983115 WVO983114:WVO983115 G91 JC91 SY91 ACU91 AMQ91 AWM91 BGI91 BQE91 CAA91 CJW91 CTS91 DDO91 DNK91 DXG91 EHC91 EQY91 FAU91 FKQ91 FUM91 GEI91 GOE91 GYA91 HHW91 HRS91 IBO91 ILK91 IVG91 JFC91 JOY91 JYU91 KIQ91 KSM91 LCI91 LME91 LWA91 MFW91 MPS91 MZO91 NJK91 NTG91 ODC91 OMY91 OWU91 PGQ91 PQM91 QAI91 QKE91 QUA91 RDW91 RNS91 RXO91 SHK91 SRG91 TBC91 TKY91 TUU91 UEQ91 UOM91 UYI91 VIE91 VSA91 WBW91 WLS91 WVO91 G65627 JC65627 SY65627 ACU65627 AMQ65627 AWM65627 BGI65627 BQE65627 CAA65627 CJW65627 CTS65627 DDO65627 DNK65627 DXG65627 EHC65627 EQY65627 FAU65627 FKQ65627 FUM65627 GEI65627 GOE65627 GYA65627 HHW65627 HRS65627 IBO65627 ILK65627 IVG65627 JFC65627 JOY65627 JYU65627 KIQ65627 KSM65627 LCI65627 LME65627 LWA65627 MFW65627 MPS65627 MZO65627 NJK65627 NTG65627 ODC65627 OMY65627 OWU65627 PGQ65627 PQM65627 QAI65627 QKE65627 QUA65627 RDW65627 RNS65627 RXO65627 SHK65627 SRG65627 TBC65627 TKY65627 TUU65627 UEQ65627 UOM65627 UYI65627 VIE65627 VSA65627 WBW65627 WLS65627 WVO65627 G131163 JC131163 SY131163 ACU131163 AMQ131163 AWM131163 BGI131163 BQE131163 CAA131163 CJW131163 CTS131163 DDO131163 DNK131163 DXG131163 EHC131163 EQY131163 FAU131163 FKQ131163 FUM131163 GEI131163 GOE131163 GYA131163 HHW131163 HRS131163 IBO131163 ILK131163 IVG131163 JFC131163 JOY131163 JYU131163 KIQ131163 KSM131163 LCI131163 LME131163 LWA131163 MFW131163 MPS131163 MZO131163 NJK131163 NTG131163 ODC131163 OMY131163 OWU131163 PGQ131163 PQM131163 QAI131163 QKE131163 QUA131163 RDW131163 RNS131163 RXO131163 SHK131163 SRG131163 TBC131163 TKY131163 TUU131163 UEQ131163 UOM131163 UYI131163 VIE131163 VSA131163 WBW131163 WLS131163 WVO131163 G196699 JC196699 SY196699 ACU196699 AMQ196699 AWM196699 BGI196699 BQE196699 CAA196699 CJW196699 CTS196699 DDO196699 DNK196699 DXG196699 EHC196699 EQY196699 FAU196699 FKQ196699 FUM196699 GEI196699 GOE196699 GYA196699 HHW196699 HRS196699 IBO196699 ILK196699 IVG196699 JFC196699 JOY196699 JYU196699 KIQ196699 KSM196699 LCI196699 LME196699 LWA196699 MFW196699 MPS196699 MZO196699 NJK196699 NTG196699 ODC196699 OMY196699 OWU196699 PGQ196699 PQM196699 QAI196699 QKE196699 QUA196699 RDW196699 RNS196699 RXO196699 SHK196699 SRG196699 TBC196699 TKY196699 TUU196699 UEQ196699 UOM196699 UYI196699 VIE196699 VSA196699 WBW196699 WLS196699 WVO196699 G262235 JC262235 SY262235 ACU262235 AMQ262235 AWM262235 BGI262235 BQE262235 CAA262235 CJW262235 CTS262235 DDO262235 DNK262235 DXG262235 EHC262235 EQY262235 FAU262235 FKQ262235 FUM262235 GEI262235 GOE262235 GYA262235 HHW262235 HRS262235 IBO262235 ILK262235 IVG262235 JFC262235 JOY262235 JYU262235 KIQ262235 KSM262235 LCI262235 LME262235 LWA262235 MFW262235 MPS262235 MZO262235 NJK262235 NTG262235 ODC262235 OMY262235 OWU262235 PGQ262235 PQM262235 QAI262235 QKE262235 QUA262235 RDW262235 RNS262235 RXO262235 SHK262235 SRG262235 TBC262235 TKY262235 TUU262235 UEQ262235 UOM262235 UYI262235 VIE262235 VSA262235 WBW262235 WLS262235 WVO262235 G327771 JC327771 SY327771 ACU327771 AMQ327771 AWM327771 BGI327771 BQE327771 CAA327771 CJW327771 CTS327771 DDO327771 DNK327771 DXG327771 EHC327771 EQY327771 FAU327771 FKQ327771 FUM327771 GEI327771 GOE327771 GYA327771 HHW327771 HRS327771 IBO327771 ILK327771 IVG327771 JFC327771 JOY327771 JYU327771 KIQ327771 KSM327771 LCI327771 LME327771 LWA327771 MFW327771 MPS327771 MZO327771 NJK327771 NTG327771 ODC327771 OMY327771 OWU327771 PGQ327771 PQM327771 QAI327771 QKE327771 QUA327771 RDW327771 RNS327771 RXO327771 SHK327771 SRG327771 TBC327771 TKY327771 TUU327771 UEQ327771 UOM327771 UYI327771 VIE327771 VSA327771 WBW327771 WLS327771 WVO327771 G393307 JC393307 SY393307 ACU393307 AMQ393307 AWM393307 BGI393307 BQE393307 CAA393307 CJW393307 CTS393307 DDO393307 DNK393307 DXG393307 EHC393307 EQY393307 FAU393307 FKQ393307 FUM393307 GEI393307 GOE393307 GYA393307 HHW393307 HRS393307 IBO393307 ILK393307 IVG393307 JFC393307 JOY393307 JYU393307 KIQ393307 KSM393307 LCI393307 LME393307 LWA393307 MFW393307 MPS393307 MZO393307 NJK393307 NTG393307 ODC393307 OMY393307 OWU393307 PGQ393307 PQM393307 QAI393307 QKE393307 QUA393307 RDW393307 RNS393307 RXO393307 SHK393307 SRG393307 TBC393307 TKY393307 TUU393307 UEQ393307 UOM393307 UYI393307 VIE393307 VSA393307 WBW393307 WLS393307 WVO393307 G458843 JC458843 SY458843 ACU458843 AMQ458843 AWM458843 BGI458843 BQE458843 CAA458843 CJW458843 CTS458843 DDO458843 DNK458843 DXG458843 EHC458843 EQY458843 FAU458843 FKQ458843 FUM458843 GEI458843 GOE458843 GYA458843 HHW458843 HRS458843 IBO458843 ILK458843 IVG458843 JFC458843 JOY458843 JYU458843 KIQ458843 KSM458843 LCI458843 LME458843 LWA458843 MFW458843 MPS458843 MZO458843 NJK458843 NTG458843 ODC458843 OMY458843 OWU458843 PGQ458843 PQM458843 QAI458843 QKE458843 QUA458843 RDW458843 RNS458843 RXO458843 SHK458843 SRG458843 TBC458843 TKY458843 TUU458843 UEQ458843 UOM458843 UYI458843 VIE458843 VSA458843 WBW458843 WLS458843 WVO458843 G524379 JC524379 SY524379 ACU524379 AMQ524379 AWM524379 BGI524379 BQE524379 CAA524379 CJW524379 CTS524379 DDO524379 DNK524379 DXG524379 EHC524379 EQY524379 FAU524379 FKQ524379 FUM524379 GEI524379 GOE524379 GYA524379 HHW524379 HRS524379 IBO524379 ILK524379 IVG524379 JFC524379 JOY524379 JYU524379 KIQ524379 KSM524379 LCI524379 LME524379 LWA524379 MFW524379 MPS524379 MZO524379 NJK524379 NTG524379 ODC524379 OMY524379 OWU524379 PGQ524379 PQM524379 QAI524379 QKE524379 QUA524379 RDW524379 RNS524379 RXO524379 SHK524379 SRG524379 TBC524379 TKY524379 TUU524379 UEQ524379 UOM524379 UYI524379 VIE524379 VSA524379 WBW524379 WLS524379 WVO524379 G589915 JC589915 SY589915 ACU589915 AMQ589915 AWM589915 BGI589915 BQE589915 CAA589915 CJW589915 CTS589915 DDO589915 DNK589915 DXG589915 EHC589915 EQY589915 FAU589915 FKQ589915 FUM589915 GEI589915 GOE589915 GYA589915 HHW589915 HRS589915 IBO589915 ILK589915 IVG589915 JFC589915 JOY589915 JYU589915 KIQ589915 KSM589915 LCI589915 LME589915 LWA589915 MFW589915 MPS589915 MZO589915 NJK589915 NTG589915 ODC589915 OMY589915 OWU589915 PGQ589915 PQM589915 QAI589915 QKE589915 QUA589915 RDW589915 RNS589915 RXO589915 SHK589915 SRG589915 TBC589915 TKY589915 TUU589915 UEQ589915 UOM589915 UYI589915 VIE589915 VSA589915 WBW589915 WLS589915 WVO589915 G655451 JC655451 SY655451 ACU655451 AMQ655451 AWM655451 BGI655451 BQE655451 CAA655451 CJW655451 CTS655451 DDO655451 DNK655451 DXG655451 EHC655451 EQY655451 FAU655451 FKQ655451 FUM655451 GEI655451 GOE655451 GYA655451 HHW655451 HRS655451 IBO655451 ILK655451 IVG655451 JFC655451 JOY655451 JYU655451 KIQ655451 KSM655451 LCI655451 LME655451 LWA655451 MFW655451 MPS655451 MZO655451 NJK655451 NTG655451 ODC655451 OMY655451 OWU655451 PGQ655451 PQM655451 QAI655451 QKE655451 QUA655451 RDW655451 RNS655451 RXO655451 SHK655451 SRG655451 TBC655451 TKY655451 TUU655451 UEQ655451 UOM655451 UYI655451 VIE655451 VSA655451 WBW655451 WLS655451 WVO655451 G720987 JC720987 SY720987 ACU720987 AMQ720987 AWM720987 BGI720987 BQE720987 CAA720987 CJW720987 CTS720987 DDO720987 DNK720987 DXG720987 EHC720987 EQY720987 FAU720987 FKQ720987 FUM720987 GEI720987 GOE720987 GYA720987 HHW720987 HRS720987 IBO720987 ILK720987 IVG720987 JFC720987 JOY720987 JYU720987 KIQ720987 KSM720987 LCI720987 LME720987 LWA720987 MFW720987 MPS720987 MZO720987 NJK720987 NTG720987 ODC720987 OMY720987 OWU720987 PGQ720987 PQM720987 QAI720987 QKE720987 QUA720987 RDW720987 RNS720987 RXO720987 SHK720987 SRG720987 TBC720987 TKY720987 TUU720987 UEQ720987 UOM720987 UYI720987 VIE720987 VSA720987 WBW720987 WLS720987 WVO720987 G786523 JC786523 SY786523 ACU786523 AMQ786523 AWM786523 BGI786523 BQE786523 CAA786523 CJW786523 CTS786523 DDO786523 DNK786523 DXG786523 EHC786523 EQY786523 FAU786523 FKQ786523 FUM786523 GEI786523 GOE786523 GYA786523 HHW786523 HRS786523 IBO786523 ILK786523 IVG786523 JFC786523 JOY786523 JYU786523 KIQ786523 KSM786523 LCI786523 LME786523 LWA786523 MFW786523 MPS786523 MZO786523 NJK786523 NTG786523 ODC786523 OMY786523 OWU786523 PGQ786523 PQM786523 QAI786523 QKE786523 QUA786523 RDW786523 RNS786523 RXO786523 SHK786523 SRG786523 TBC786523 TKY786523 TUU786523 UEQ786523 UOM786523 UYI786523 VIE786523 VSA786523 WBW786523 WLS786523 WVO786523 G852059 JC852059 SY852059 ACU852059 AMQ852059 AWM852059 BGI852059 BQE852059 CAA852059 CJW852059 CTS852059 DDO852059 DNK852059 DXG852059 EHC852059 EQY852059 FAU852059 FKQ852059 FUM852059 GEI852059 GOE852059 GYA852059 HHW852059 HRS852059 IBO852059 ILK852059 IVG852059 JFC852059 JOY852059 JYU852059 KIQ852059 KSM852059 LCI852059 LME852059 LWA852059 MFW852059 MPS852059 MZO852059 NJK852059 NTG852059 ODC852059 OMY852059 OWU852059 PGQ852059 PQM852059 QAI852059 QKE852059 QUA852059 RDW852059 RNS852059 RXO852059 SHK852059 SRG852059 TBC852059 TKY852059 TUU852059 UEQ852059 UOM852059 UYI852059 VIE852059 VSA852059 WBW852059 WLS852059 WVO852059 G917595 JC917595 SY917595 ACU917595 AMQ917595 AWM917595 BGI917595 BQE917595 CAA917595 CJW917595 CTS917595 DDO917595 DNK917595 DXG917595 EHC917595 EQY917595 FAU917595 FKQ917595 FUM917595 GEI917595 GOE917595 GYA917595 HHW917595 HRS917595 IBO917595 ILK917595 IVG917595 JFC917595 JOY917595 JYU917595 KIQ917595 KSM917595 LCI917595 LME917595 LWA917595 MFW917595 MPS917595 MZO917595 NJK917595 NTG917595 ODC917595 OMY917595 OWU917595 PGQ917595 PQM917595 QAI917595 QKE917595 QUA917595 RDW917595 RNS917595 RXO917595 SHK917595 SRG917595 TBC917595 TKY917595 TUU917595 UEQ917595 UOM917595 UYI917595 VIE917595 VSA917595 WBW917595 WLS917595 WVO917595 G983131 JC983131 SY983131 ACU983131 AMQ983131 AWM983131 BGI983131 BQE983131 CAA983131 CJW983131 CTS983131 DDO983131 DNK983131 DXG983131 EHC983131 EQY983131 FAU983131 FKQ983131 FUM983131 GEI983131 GOE983131 GYA983131 HHW983131 HRS983131 IBO983131 ILK983131 IVG983131 JFC983131 JOY983131 JYU983131 KIQ983131 KSM983131 LCI983131 LME983131 LWA983131 MFW983131 MPS983131 MZO983131 NJK983131 NTG983131 ODC983131 OMY983131 OWU983131 PGQ983131 PQM983131 QAI983131 QKE983131 QUA983131 RDW983131 RNS983131 RXO983131 SHK983131 SRG983131 TBC983131 TKY983131 TUU983131 UEQ983131 UOM983131 UYI983131 VIE983131 VSA983131 WBW983131 WLS983131 WVO983131</xm:sqref>
        </x14:dataValidation>
        <x14:dataValidation type="list" allowBlank="1" showInputMessage="1" showErrorMessage="1" xr:uid="{71648E41-F180-4D2D-BCDB-6F82464E853A}">
          <x14:formula1>
            <xm:f>tratamientos</xm:f>
          </x14:formula1>
          <xm:sqref>F5:F7 JB5:JB7 SX5:SX7 ACT5:ACT7 AMP5:AMP7 AWL5:AWL7 BGH5:BGH7 BQD5:BQD7 BZZ5:BZZ7 CJV5:CJV7 CTR5:CTR7 DDN5:DDN7 DNJ5:DNJ7 DXF5:DXF7 EHB5:EHB7 EQX5:EQX7 FAT5:FAT7 FKP5:FKP7 FUL5:FUL7 GEH5:GEH7 GOD5:GOD7 GXZ5:GXZ7 HHV5:HHV7 HRR5:HRR7 IBN5:IBN7 ILJ5:ILJ7 IVF5:IVF7 JFB5:JFB7 JOX5:JOX7 JYT5:JYT7 KIP5:KIP7 KSL5:KSL7 LCH5:LCH7 LMD5:LMD7 LVZ5:LVZ7 MFV5:MFV7 MPR5:MPR7 MZN5:MZN7 NJJ5:NJJ7 NTF5:NTF7 ODB5:ODB7 OMX5:OMX7 OWT5:OWT7 PGP5:PGP7 PQL5:PQL7 QAH5:QAH7 QKD5:QKD7 QTZ5:QTZ7 RDV5:RDV7 RNR5:RNR7 RXN5:RXN7 SHJ5:SHJ7 SRF5:SRF7 TBB5:TBB7 TKX5:TKX7 TUT5:TUT7 UEP5:UEP7 UOL5:UOL7 UYH5:UYH7 VID5:VID7 VRZ5:VRZ7 WBV5:WBV7 WLR5:WLR7 WVN5:WVN7 F65541:F65543 JB65541:JB65543 SX65541:SX65543 ACT65541:ACT65543 AMP65541:AMP65543 AWL65541:AWL65543 BGH65541:BGH65543 BQD65541:BQD65543 BZZ65541:BZZ65543 CJV65541:CJV65543 CTR65541:CTR65543 DDN65541:DDN65543 DNJ65541:DNJ65543 DXF65541:DXF65543 EHB65541:EHB65543 EQX65541:EQX65543 FAT65541:FAT65543 FKP65541:FKP65543 FUL65541:FUL65543 GEH65541:GEH65543 GOD65541:GOD65543 GXZ65541:GXZ65543 HHV65541:HHV65543 HRR65541:HRR65543 IBN65541:IBN65543 ILJ65541:ILJ65543 IVF65541:IVF65543 JFB65541:JFB65543 JOX65541:JOX65543 JYT65541:JYT65543 KIP65541:KIP65543 KSL65541:KSL65543 LCH65541:LCH65543 LMD65541:LMD65543 LVZ65541:LVZ65543 MFV65541:MFV65543 MPR65541:MPR65543 MZN65541:MZN65543 NJJ65541:NJJ65543 NTF65541:NTF65543 ODB65541:ODB65543 OMX65541:OMX65543 OWT65541:OWT65543 PGP65541:PGP65543 PQL65541:PQL65543 QAH65541:QAH65543 QKD65541:QKD65543 QTZ65541:QTZ65543 RDV65541:RDV65543 RNR65541:RNR65543 RXN65541:RXN65543 SHJ65541:SHJ65543 SRF65541:SRF65543 TBB65541:TBB65543 TKX65541:TKX65543 TUT65541:TUT65543 UEP65541:UEP65543 UOL65541:UOL65543 UYH65541:UYH65543 VID65541:VID65543 VRZ65541:VRZ65543 WBV65541:WBV65543 WLR65541:WLR65543 WVN65541:WVN65543 F131077:F131079 JB131077:JB131079 SX131077:SX131079 ACT131077:ACT131079 AMP131077:AMP131079 AWL131077:AWL131079 BGH131077:BGH131079 BQD131077:BQD131079 BZZ131077:BZZ131079 CJV131077:CJV131079 CTR131077:CTR131079 DDN131077:DDN131079 DNJ131077:DNJ131079 DXF131077:DXF131079 EHB131077:EHB131079 EQX131077:EQX131079 FAT131077:FAT131079 FKP131077:FKP131079 FUL131077:FUL131079 GEH131077:GEH131079 GOD131077:GOD131079 GXZ131077:GXZ131079 HHV131077:HHV131079 HRR131077:HRR131079 IBN131077:IBN131079 ILJ131077:ILJ131079 IVF131077:IVF131079 JFB131077:JFB131079 JOX131077:JOX131079 JYT131077:JYT131079 KIP131077:KIP131079 KSL131077:KSL131079 LCH131077:LCH131079 LMD131077:LMD131079 LVZ131077:LVZ131079 MFV131077:MFV131079 MPR131077:MPR131079 MZN131077:MZN131079 NJJ131077:NJJ131079 NTF131077:NTF131079 ODB131077:ODB131079 OMX131077:OMX131079 OWT131077:OWT131079 PGP131077:PGP131079 PQL131077:PQL131079 QAH131077:QAH131079 QKD131077:QKD131079 QTZ131077:QTZ131079 RDV131077:RDV131079 RNR131077:RNR131079 RXN131077:RXN131079 SHJ131077:SHJ131079 SRF131077:SRF131079 TBB131077:TBB131079 TKX131077:TKX131079 TUT131077:TUT131079 UEP131077:UEP131079 UOL131077:UOL131079 UYH131077:UYH131079 VID131077:VID131079 VRZ131077:VRZ131079 WBV131077:WBV131079 WLR131077:WLR131079 WVN131077:WVN131079 F196613:F196615 JB196613:JB196615 SX196613:SX196615 ACT196613:ACT196615 AMP196613:AMP196615 AWL196613:AWL196615 BGH196613:BGH196615 BQD196613:BQD196615 BZZ196613:BZZ196615 CJV196613:CJV196615 CTR196613:CTR196615 DDN196613:DDN196615 DNJ196613:DNJ196615 DXF196613:DXF196615 EHB196613:EHB196615 EQX196613:EQX196615 FAT196613:FAT196615 FKP196613:FKP196615 FUL196613:FUL196615 GEH196613:GEH196615 GOD196613:GOD196615 GXZ196613:GXZ196615 HHV196613:HHV196615 HRR196613:HRR196615 IBN196613:IBN196615 ILJ196613:ILJ196615 IVF196613:IVF196615 JFB196613:JFB196615 JOX196613:JOX196615 JYT196613:JYT196615 KIP196613:KIP196615 KSL196613:KSL196615 LCH196613:LCH196615 LMD196613:LMD196615 LVZ196613:LVZ196615 MFV196613:MFV196615 MPR196613:MPR196615 MZN196613:MZN196615 NJJ196613:NJJ196615 NTF196613:NTF196615 ODB196613:ODB196615 OMX196613:OMX196615 OWT196613:OWT196615 PGP196613:PGP196615 PQL196613:PQL196615 QAH196613:QAH196615 QKD196613:QKD196615 QTZ196613:QTZ196615 RDV196613:RDV196615 RNR196613:RNR196615 RXN196613:RXN196615 SHJ196613:SHJ196615 SRF196613:SRF196615 TBB196613:TBB196615 TKX196613:TKX196615 TUT196613:TUT196615 UEP196613:UEP196615 UOL196613:UOL196615 UYH196613:UYH196615 VID196613:VID196615 VRZ196613:VRZ196615 WBV196613:WBV196615 WLR196613:WLR196615 WVN196613:WVN196615 F262149:F262151 JB262149:JB262151 SX262149:SX262151 ACT262149:ACT262151 AMP262149:AMP262151 AWL262149:AWL262151 BGH262149:BGH262151 BQD262149:BQD262151 BZZ262149:BZZ262151 CJV262149:CJV262151 CTR262149:CTR262151 DDN262149:DDN262151 DNJ262149:DNJ262151 DXF262149:DXF262151 EHB262149:EHB262151 EQX262149:EQX262151 FAT262149:FAT262151 FKP262149:FKP262151 FUL262149:FUL262151 GEH262149:GEH262151 GOD262149:GOD262151 GXZ262149:GXZ262151 HHV262149:HHV262151 HRR262149:HRR262151 IBN262149:IBN262151 ILJ262149:ILJ262151 IVF262149:IVF262151 JFB262149:JFB262151 JOX262149:JOX262151 JYT262149:JYT262151 KIP262149:KIP262151 KSL262149:KSL262151 LCH262149:LCH262151 LMD262149:LMD262151 LVZ262149:LVZ262151 MFV262149:MFV262151 MPR262149:MPR262151 MZN262149:MZN262151 NJJ262149:NJJ262151 NTF262149:NTF262151 ODB262149:ODB262151 OMX262149:OMX262151 OWT262149:OWT262151 PGP262149:PGP262151 PQL262149:PQL262151 QAH262149:QAH262151 QKD262149:QKD262151 QTZ262149:QTZ262151 RDV262149:RDV262151 RNR262149:RNR262151 RXN262149:RXN262151 SHJ262149:SHJ262151 SRF262149:SRF262151 TBB262149:TBB262151 TKX262149:TKX262151 TUT262149:TUT262151 UEP262149:UEP262151 UOL262149:UOL262151 UYH262149:UYH262151 VID262149:VID262151 VRZ262149:VRZ262151 WBV262149:WBV262151 WLR262149:WLR262151 WVN262149:WVN262151 F327685:F327687 JB327685:JB327687 SX327685:SX327687 ACT327685:ACT327687 AMP327685:AMP327687 AWL327685:AWL327687 BGH327685:BGH327687 BQD327685:BQD327687 BZZ327685:BZZ327687 CJV327685:CJV327687 CTR327685:CTR327687 DDN327685:DDN327687 DNJ327685:DNJ327687 DXF327685:DXF327687 EHB327685:EHB327687 EQX327685:EQX327687 FAT327685:FAT327687 FKP327685:FKP327687 FUL327685:FUL327687 GEH327685:GEH327687 GOD327685:GOD327687 GXZ327685:GXZ327687 HHV327685:HHV327687 HRR327685:HRR327687 IBN327685:IBN327687 ILJ327685:ILJ327687 IVF327685:IVF327687 JFB327685:JFB327687 JOX327685:JOX327687 JYT327685:JYT327687 KIP327685:KIP327687 KSL327685:KSL327687 LCH327685:LCH327687 LMD327685:LMD327687 LVZ327685:LVZ327687 MFV327685:MFV327687 MPR327685:MPR327687 MZN327685:MZN327687 NJJ327685:NJJ327687 NTF327685:NTF327687 ODB327685:ODB327687 OMX327685:OMX327687 OWT327685:OWT327687 PGP327685:PGP327687 PQL327685:PQL327687 QAH327685:QAH327687 QKD327685:QKD327687 QTZ327685:QTZ327687 RDV327685:RDV327687 RNR327685:RNR327687 RXN327685:RXN327687 SHJ327685:SHJ327687 SRF327685:SRF327687 TBB327685:TBB327687 TKX327685:TKX327687 TUT327685:TUT327687 UEP327685:UEP327687 UOL327685:UOL327687 UYH327685:UYH327687 VID327685:VID327687 VRZ327685:VRZ327687 WBV327685:WBV327687 WLR327685:WLR327687 WVN327685:WVN327687 F393221:F393223 JB393221:JB393223 SX393221:SX393223 ACT393221:ACT393223 AMP393221:AMP393223 AWL393221:AWL393223 BGH393221:BGH393223 BQD393221:BQD393223 BZZ393221:BZZ393223 CJV393221:CJV393223 CTR393221:CTR393223 DDN393221:DDN393223 DNJ393221:DNJ393223 DXF393221:DXF393223 EHB393221:EHB393223 EQX393221:EQX393223 FAT393221:FAT393223 FKP393221:FKP393223 FUL393221:FUL393223 GEH393221:GEH393223 GOD393221:GOD393223 GXZ393221:GXZ393223 HHV393221:HHV393223 HRR393221:HRR393223 IBN393221:IBN393223 ILJ393221:ILJ393223 IVF393221:IVF393223 JFB393221:JFB393223 JOX393221:JOX393223 JYT393221:JYT393223 KIP393221:KIP393223 KSL393221:KSL393223 LCH393221:LCH393223 LMD393221:LMD393223 LVZ393221:LVZ393223 MFV393221:MFV393223 MPR393221:MPR393223 MZN393221:MZN393223 NJJ393221:NJJ393223 NTF393221:NTF393223 ODB393221:ODB393223 OMX393221:OMX393223 OWT393221:OWT393223 PGP393221:PGP393223 PQL393221:PQL393223 QAH393221:QAH393223 QKD393221:QKD393223 QTZ393221:QTZ393223 RDV393221:RDV393223 RNR393221:RNR393223 RXN393221:RXN393223 SHJ393221:SHJ393223 SRF393221:SRF393223 TBB393221:TBB393223 TKX393221:TKX393223 TUT393221:TUT393223 UEP393221:UEP393223 UOL393221:UOL393223 UYH393221:UYH393223 VID393221:VID393223 VRZ393221:VRZ393223 WBV393221:WBV393223 WLR393221:WLR393223 WVN393221:WVN393223 F458757:F458759 JB458757:JB458759 SX458757:SX458759 ACT458757:ACT458759 AMP458757:AMP458759 AWL458757:AWL458759 BGH458757:BGH458759 BQD458757:BQD458759 BZZ458757:BZZ458759 CJV458757:CJV458759 CTR458757:CTR458759 DDN458757:DDN458759 DNJ458757:DNJ458759 DXF458757:DXF458759 EHB458757:EHB458759 EQX458757:EQX458759 FAT458757:FAT458759 FKP458757:FKP458759 FUL458757:FUL458759 GEH458757:GEH458759 GOD458757:GOD458759 GXZ458757:GXZ458759 HHV458757:HHV458759 HRR458757:HRR458759 IBN458757:IBN458759 ILJ458757:ILJ458759 IVF458757:IVF458759 JFB458757:JFB458759 JOX458757:JOX458759 JYT458757:JYT458759 KIP458757:KIP458759 KSL458757:KSL458759 LCH458757:LCH458759 LMD458757:LMD458759 LVZ458757:LVZ458759 MFV458757:MFV458759 MPR458757:MPR458759 MZN458757:MZN458759 NJJ458757:NJJ458759 NTF458757:NTF458759 ODB458757:ODB458759 OMX458757:OMX458759 OWT458757:OWT458759 PGP458757:PGP458759 PQL458757:PQL458759 QAH458757:QAH458759 QKD458757:QKD458759 QTZ458757:QTZ458759 RDV458757:RDV458759 RNR458757:RNR458759 RXN458757:RXN458759 SHJ458757:SHJ458759 SRF458757:SRF458759 TBB458757:TBB458759 TKX458757:TKX458759 TUT458757:TUT458759 UEP458757:UEP458759 UOL458757:UOL458759 UYH458757:UYH458759 VID458757:VID458759 VRZ458757:VRZ458759 WBV458757:WBV458759 WLR458757:WLR458759 WVN458757:WVN458759 F524293:F524295 JB524293:JB524295 SX524293:SX524295 ACT524293:ACT524295 AMP524293:AMP524295 AWL524293:AWL524295 BGH524293:BGH524295 BQD524293:BQD524295 BZZ524293:BZZ524295 CJV524293:CJV524295 CTR524293:CTR524295 DDN524293:DDN524295 DNJ524293:DNJ524295 DXF524293:DXF524295 EHB524293:EHB524295 EQX524293:EQX524295 FAT524293:FAT524295 FKP524293:FKP524295 FUL524293:FUL524295 GEH524293:GEH524295 GOD524293:GOD524295 GXZ524293:GXZ524295 HHV524293:HHV524295 HRR524293:HRR524295 IBN524293:IBN524295 ILJ524293:ILJ524295 IVF524293:IVF524295 JFB524293:JFB524295 JOX524293:JOX524295 JYT524293:JYT524295 KIP524293:KIP524295 KSL524293:KSL524295 LCH524293:LCH524295 LMD524293:LMD524295 LVZ524293:LVZ524295 MFV524293:MFV524295 MPR524293:MPR524295 MZN524293:MZN524295 NJJ524293:NJJ524295 NTF524293:NTF524295 ODB524293:ODB524295 OMX524293:OMX524295 OWT524293:OWT524295 PGP524293:PGP524295 PQL524293:PQL524295 QAH524293:QAH524295 QKD524293:QKD524295 QTZ524293:QTZ524295 RDV524293:RDV524295 RNR524293:RNR524295 RXN524293:RXN524295 SHJ524293:SHJ524295 SRF524293:SRF524295 TBB524293:TBB524295 TKX524293:TKX524295 TUT524293:TUT524295 UEP524293:UEP524295 UOL524293:UOL524295 UYH524293:UYH524295 VID524293:VID524295 VRZ524293:VRZ524295 WBV524293:WBV524295 WLR524293:WLR524295 WVN524293:WVN524295 F589829:F589831 JB589829:JB589831 SX589829:SX589831 ACT589829:ACT589831 AMP589829:AMP589831 AWL589829:AWL589831 BGH589829:BGH589831 BQD589829:BQD589831 BZZ589829:BZZ589831 CJV589829:CJV589831 CTR589829:CTR589831 DDN589829:DDN589831 DNJ589829:DNJ589831 DXF589829:DXF589831 EHB589829:EHB589831 EQX589829:EQX589831 FAT589829:FAT589831 FKP589829:FKP589831 FUL589829:FUL589831 GEH589829:GEH589831 GOD589829:GOD589831 GXZ589829:GXZ589831 HHV589829:HHV589831 HRR589829:HRR589831 IBN589829:IBN589831 ILJ589829:ILJ589831 IVF589829:IVF589831 JFB589829:JFB589831 JOX589829:JOX589831 JYT589829:JYT589831 KIP589829:KIP589831 KSL589829:KSL589831 LCH589829:LCH589831 LMD589829:LMD589831 LVZ589829:LVZ589831 MFV589829:MFV589831 MPR589829:MPR589831 MZN589829:MZN589831 NJJ589829:NJJ589831 NTF589829:NTF589831 ODB589829:ODB589831 OMX589829:OMX589831 OWT589829:OWT589831 PGP589829:PGP589831 PQL589829:PQL589831 QAH589829:QAH589831 QKD589829:QKD589831 QTZ589829:QTZ589831 RDV589829:RDV589831 RNR589829:RNR589831 RXN589829:RXN589831 SHJ589829:SHJ589831 SRF589829:SRF589831 TBB589829:TBB589831 TKX589829:TKX589831 TUT589829:TUT589831 UEP589829:UEP589831 UOL589829:UOL589831 UYH589829:UYH589831 VID589829:VID589831 VRZ589829:VRZ589831 WBV589829:WBV589831 WLR589829:WLR589831 WVN589829:WVN589831 F655365:F655367 JB655365:JB655367 SX655365:SX655367 ACT655365:ACT655367 AMP655365:AMP655367 AWL655365:AWL655367 BGH655365:BGH655367 BQD655365:BQD655367 BZZ655365:BZZ655367 CJV655365:CJV655367 CTR655365:CTR655367 DDN655365:DDN655367 DNJ655365:DNJ655367 DXF655365:DXF655367 EHB655365:EHB655367 EQX655365:EQX655367 FAT655365:FAT655367 FKP655365:FKP655367 FUL655365:FUL655367 GEH655365:GEH655367 GOD655365:GOD655367 GXZ655365:GXZ655367 HHV655365:HHV655367 HRR655365:HRR655367 IBN655365:IBN655367 ILJ655365:ILJ655367 IVF655365:IVF655367 JFB655365:JFB655367 JOX655365:JOX655367 JYT655365:JYT655367 KIP655365:KIP655367 KSL655365:KSL655367 LCH655365:LCH655367 LMD655365:LMD655367 LVZ655365:LVZ655367 MFV655365:MFV655367 MPR655365:MPR655367 MZN655365:MZN655367 NJJ655365:NJJ655367 NTF655365:NTF655367 ODB655365:ODB655367 OMX655365:OMX655367 OWT655365:OWT655367 PGP655365:PGP655367 PQL655365:PQL655367 QAH655365:QAH655367 QKD655365:QKD655367 QTZ655365:QTZ655367 RDV655365:RDV655367 RNR655365:RNR655367 RXN655365:RXN655367 SHJ655365:SHJ655367 SRF655365:SRF655367 TBB655365:TBB655367 TKX655365:TKX655367 TUT655365:TUT655367 UEP655365:UEP655367 UOL655365:UOL655367 UYH655365:UYH655367 VID655365:VID655367 VRZ655365:VRZ655367 WBV655365:WBV655367 WLR655365:WLR655367 WVN655365:WVN655367 F720901:F720903 JB720901:JB720903 SX720901:SX720903 ACT720901:ACT720903 AMP720901:AMP720903 AWL720901:AWL720903 BGH720901:BGH720903 BQD720901:BQD720903 BZZ720901:BZZ720903 CJV720901:CJV720903 CTR720901:CTR720903 DDN720901:DDN720903 DNJ720901:DNJ720903 DXF720901:DXF720903 EHB720901:EHB720903 EQX720901:EQX720903 FAT720901:FAT720903 FKP720901:FKP720903 FUL720901:FUL720903 GEH720901:GEH720903 GOD720901:GOD720903 GXZ720901:GXZ720903 HHV720901:HHV720903 HRR720901:HRR720903 IBN720901:IBN720903 ILJ720901:ILJ720903 IVF720901:IVF720903 JFB720901:JFB720903 JOX720901:JOX720903 JYT720901:JYT720903 KIP720901:KIP720903 KSL720901:KSL720903 LCH720901:LCH720903 LMD720901:LMD720903 LVZ720901:LVZ720903 MFV720901:MFV720903 MPR720901:MPR720903 MZN720901:MZN720903 NJJ720901:NJJ720903 NTF720901:NTF720903 ODB720901:ODB720903 OMX720901:OMX720903 OWT720901:OWT720903 PGP720901:PGP720903 PQL720901:PQL720903 QAH720901:QAH720903 QKD720901:QKD720903 QTZ720901:QTZ720903 RDV720901:RDV720903 RNR720901:RNR720903 RXN720901:RXN720903 SHJ720901:SHJ720903 SRF720901:SRF720903 TBB720901:TBB720903 TKX720901:TKX720903 TUT720901:TUT720903 UEP720901:UEP720903 UOL720901:UOL720903 UYH720901:UYH720903 VID720901:VID720903 VRZ720901:VRZ720903 WBV720901:WBV720903 WLR720901:WLR720903 WVN720901:WVN720903 F786437:F786439 JB786437:JB786439 SX786437:SX786439 ACT786437:ACT786439 AMP786437:AMP786439 AWL786437:AWL786439 BGH786437:BGH786439 BQD786437:BQD786439 BZZ786437:BZZ786439 CJV786437:CJV786439 CTR786437:CTR786439 DDN786437:DDN786439 DNJ786437:DNJ786439 DXF786437:DXF786439 EHB786437:EHB786439 EQX786437:EQX786439 FAT786437:FAT786439 FKP786437:FKP786439 FUL786437:FUL786439 GEH786437:GEH786439 GOD786437:GOD786439 GXZ786437:GXZ786439 HHV786437:HHV786439 HRR786437:HRR786439 IBN786437:IBN786439 ILJ786437:ILJ786439 IVF786437:IVF786439 JFB786437:JFB786439 JOX786437:JOX786439 JYT786437:JYT786439 KIP786437:KIP786439 KSL786437:KSL786439 LCH786437:LCH786439 LMD786437:LMD786439 LVZ786437:LVZ786439 MFV786437:MFV786439 MPR786437:MPR786439 MZN786437:MZN786439 NJJ786437:NJJ786439 NTF786437:NTF786439 ODB786437:ODB786439 OMX786437:OMX786439 OWT786437:OWT786439 PGP786437:PGP786439 PQL786437:PQL786439 QAH786437:QAH786439 QKD786437:QKD786439 QTZ786437:QTZ786439 RDV786437:RDV786439 RNR786437:RNR786439 RXN786437:RXN786439 SHJ786437:SHJ786439 SRF786437:SRF786439 TBB786437:TBB786439 TKX786437:TKX786439 TUT786437:TUT786439 UEP786437:UEP786439 UOL786437:UOL786439 UYH786437:UYH786439 VID786437:VID786439 VRZ786437:VRZ786439 WBV786437:WBV786439 WLR786437:WLR786439 WVN786437:WVN786439 F851973:F851975 JB851973:JB851975 SX851973:SX851975 ACT851973:ACT851975 AMP851973:AMP851975 AWL851973:AWL851975 BGH851973:BGH851975 BQD851973:BQD851975 BZZ851973:BZZ851975 CJV851973:CJV851975 CTR851973:CTR851975 DDN851973:DDN851975 DNJ851973:DNJ851975 DXF851973:DXF851975 EHB851973:EHB851975 EQX851973:EQX851975 FAT851973:FAT851975 FKP851973:FKP851975 FUL851973:FUL851975 GEH851973:GEH851975 GOD851973:GOD851975 GXZ851973:GXZ851975 HHV851973:HHV851975 HRR851973:HRR851975 IBN851973:IBN851975 ILJ851973:ILJ851975 IVF851973:IVF851975 JFB851973:JFB851975 JOX851973:JOX851975 JYT851973:JYT851975 KIP851973:KIP851975 KSL851973:KSL851975 LCH851973:LCH851975 LMD851973:LMD851975 LVZ851973:LVZ851975 MFV851973:MFV851975 MPR851973:MPR851975 MZN851973:MZN851975 NJJ851973:NJJ851975 NTF851973:NTF851975 ODB851973:ODB851975 OMX851973:OMX851975 OWT851973:OWT851975 PGP851973:PGP851975 PQL851973:PQL851975 QAH851973:QAH851975 QKD851973:QKD851975 QTZ851973:QTZ851975 RDV851973:RDV851975 RNR851973:RNR851975 RXN851973:RXN851975 SHJ851973:SHJ851975 SRF851973:SRF851975 TBB851973:TBB851975 TKX851973:TKX851975 TUT851973:TUT851975 UEP851973:UEP851975 UOL851973:UOL851975 UYH851973:UYH851975 VID851973:VID851975 VRZ851973:VRZ851975 WBV851973:WBV851975 WLR851973:WLR851975 WVN851973:WVN851975 F917509:F917511 JB917509:JB917511 SX917509:SX917511 ACT917509:ACT917511 AMP917509:AMP917511 AWL917509:AWL917511 BGH917509:BGH917511 BQD917509:BQD917511 BZZ917509:BZZ917511 CJV917509:CJV917511 CTR917509:CTR917511 DDN917509:DDN917511 DNJ917509:DNJ917511 DXF917509:DXF917511 EHB917509:EHB917511 EQX917509:EQX917511 FAT917509:FAT917511 FKP917509:FKP917511 FUL917509:FUL917511 GEH917509:GEH917511 GOD917509:GOD917511 GXZ917509:GXZ917511 HHV917509:HHV917511 HRR917509:HRR917511 IBN917509:IBN917511 ILJ917509:ILJ917511 IVF917509:IVF917511 JFB917509:JFB917511 JOX917509:JOX917511 JYT917509:JYT917511 KIP917509:KIP917511 KSL917509:KSL917511 LCH917509:LCH917511 LMD917509:LMD917511 LVZ917509:LVZ917511 MFV917509:MFV917511 MPR917509:MPR917511 MZN917509:MZN917511 NJJ917509:NJJ917511 NTF917509:NTF917511 ODB917509:ODB917511 OMX917509:OMX917511 OWT917509:OWT917511 PGP917509:PGP917511 PQL917509:PQL917511 QAH917509:QAH917511 QKD917509:QKD917511 QTZ917509:QTZ917511 RDV917509:RDV917511 RNR917509:RNR917511 RXN917509:RXN917511 SHJ917509:SHJ917511 SRF917509:SRF917511 TBB917509:TBB917511 TKX917509:TKX917511 TUT917509:TUT917511 UEP917509:UEP917511 UOL917509:UOL917511 UYH917509:UYH917511 VID917509:VID917511 VRZ917509:VRZ917511 WBV917509:WBV917511 WLR917509:WLR917511 WVN917509:WVN917511 F983045:F983047 JB983045:JB983047 SX983045:SX983047 ACT983045:ACT983047 AMP983045:AMP983047 AWL983045:AWL983047 BGH983045:BGH983047 BQD983045:BQD983047 BZZ983045:BZZ983047 CJV983045:CJV983047 CTR983045:CTR983047 DDN983045:DDN983047 DNJ983045:DNJ983047 DXF983045:DXF983047 EHB983045:EHB983047 EQX983045:EQX983047 FAT983045:FAT983047 FKP983045:FKP983047 FUL983045:FUL983047 GEH983045:GEH983047 GOD983045:GOD983047 GXZ983045:GXZ983047 HHV983045:HHV983047 HRR983045:HRR983047 IBN983045:IBN983047 ILJ983045:ILJ983047 IVF983045:IVF983047 JFB983045:JFB983047 JOX983045:JOX983047 JYT983045:JYT983047 KIP983045:KIP983047 KSL983045:KSL983047 LCH983045:LCH983047 LMD983045:LMD983047 LVZ983045:LVZ983047 MFV983045:MFV983047 MPR983045:MPR983047 MZN983045:MZN983047 NJJ983045:NJJ983047 NTF983045:NTF983047 ODB983045:ODB983047 OMX983045:OMX983047 OWT983045:OWT983047 PGP983045:PGP983047 PQL983045:PQL983047 QAH983045:QAH983047 QKD983045:QKD983047 QTZ983045:QTZ983047 RDV983045:RDV983047 RNR983045:RNR983047 RXN983045:RXN983047 SHJ983045:SHJ983047 SRF983045:SRF983047 TBB983045:TBB983047 TKX983045:TKX983047 TUT983045:TUT983047 UEP983045:UEP983047 UOL983045:UOL983047 UYH983045:UYH983047 VID983045:VID983047 VRZ983045:VRZ983047 WBV983045:WBV983047 WLR983045:WLR983047 WVN983045:WVN983047 F14 JB14 SX14 ACT14 AMP14 AWL14 BGH14 BQD14 BZZ14 CJV14 CTR14 DDN14 DNJ14 DXF14 EHB14 EQX14 FAT14 FKP14 FUL14 GEH14 GOD14 GXZ14 HHV14 HRR14 IBN14 ILJ14 IVF14 JFB14 JOX14 JYT14 KIP14 KSL14 LCH14 LMD14 LVZ14 MFV14 MPR14 MZN14 NJJ14 NTF14 ODB14 OMX14 OWT14 PGP14 PQL14 QAH14 QKD14 QTZ14 RDV14 RNR14 RXN14 SHJ14 SRF14 TBB14 TKX14 TUT14 UEP14 UOL14 UYH14 VID14 VRZ14 WBV14 WLR14 WVN14 F65550 JB65550 SX65550 ACT65550 AMP65550 AWL65550 BGH65550 BQD65550 BZZ65550 CJV65550 CTR65550 DDN65550 DNJ65550 DXF65550 EHB65550 EQX65550 FAT65550 FKP65550 FUL65550 GEH65550 GOD65550 GXZ65550 HHV65550 HRR65550 IBN65550 ILJ65550 IVF65550 JFB65550 JOX65550 JYT65550 KIP65550 KSL65550 LCH65550 LMD65550 LVZ65550 MFV65550 MPR65550 MZN65550 NJJ65550 NTF65550 ODB65550 OMX65550 OWT65550 PGP65550 PQL65550 QAH65550 QKD65550 QTZ65550 RDV65550 RNR65550 RXN65550 SHJ65550 SRF65550 TBB65550 TKX65550 TUT65550 UEP65550 UOL65550 UYH65550 VID65550 VRZ65550 WBV65550 WLR65550 WVN65550 F131086 JB131086 SX131086 ACT131086 AMP131086 AWL131086 BGH131086 BQD131086 BZZ131086 CJV131086 CTR131086 DDN131086 DNJ131086 DXF131086 EHB131086 EQX131086 FAT131086 FKP131086 FUL131086 GEH131086 GOD131086 GXZ131086 HHV131086 HRR131086 IBN131086 ILJ131086 IVF131086 JFB131086 JOX131086 JYT131086 KIP131086 KSL131086 LCH131086 LMD131086 LVZ131086 MFV131086 MPR131086 MZN131086 NJJ131086 NTF131086 ODB131086 OMX131086 OWT131086 PGP131086 PQL131086 QAH131086 QKD131086 QTZ131086 RDV131086 RNR131086 RXN131086 SHJ131086 SRF131086 TBB131086 TKX131086 TUT131086 UEP131086 UOL131086 UYH131086 VID131086 VRZ131086 WBV131086 WLR131086 WVN131086 F196622 JB196622 SX196622 ACT196622 AMP196622 AWL196622 BGH196622 BQD196622 BZZ196622 CJV196622 CTR196622 DDN196622 DNJ196622 DXF196622 EHB196622 EQX196622 FAT196622 FKP196622 FUL196622 GEH196622 GOD196622 GXZ196622 HHV196622 HRR196622 IBN196622 ILJ196622 IVF196622 JFB196622 JOX196622 JYT196622 KIP196622 KSL196622 LCH196622 LMD196622 LVZ196622 MFV196622 MPR196622 MZN196622 NJJ196622 NTF196622 ODB196622 OMX196622 OWT196622 PGP196622 PQL196622 QAH196622 QKD196622 QTZ196622 RDV196622 RNR196622 RXN196622 SHJ196622 SRF196622 TBB196622 TKX196622 TUT196622 UEP196622 UOL196622 UYH196622 VID196622 VRZ196622 WBV196622 WLR196622 WVN196622 F262158 JB262158 SX262158 ACT262158 AMP262158 AWL262158 BGH262158 BQD262158 BZZ262158 CJV262158 CTR262158 DDN262158 DNJ262158 DXF262158 EHB262158 EQX262158 FAT262158 FKP262158 FUL262158 GEH262158 GOD262158 GXZ262158 HHV262158 HRR262158 IBN262158 ILJ262158 IVF262158 JFB262158 JOX262158 JYT262158 KIP262158 KSL262158 LCH262158 LMD262158 LVZ262158 MFV262158 MPR262158 MZN262158 NJJ262158 NTF262158 ODB262158 OMX262158 OWT262158 PGP262158 PQL262158 QAH262158 QKD262158 QTZ262158 RDV262158 RNR262158 RXN262158 SHJ262158 SRF262158 TBB262158 TKX262158 TUT262158 UEP262158 UOL262158 UYH262158 VID262158 VRZ262158 WBV262158 WLR262158 WVN262158 F327694 JB327694 SX327694 ACT327694 AMP327694 AWL327694 BGH327694 BQD327694 BZZ327694 CJV327694 CTR327694 DDN327694 DNJ327694 DXF327694 EHB327694 EQX327694 FAT327694 FKP327694 FUL327694 GEH327694 GOD327694 GXZ327694 HHV327694 HRR327694 IBN327694 ILJ327694 IVF327694 JFB327694 JOX327694 JYT327694 KIP327694 KSL327694 LCH327694 LMD327694 LVZ327694 MFV327694 MPR327694 MZN327694 NJJ327694 NTF327694 ODB327694 OMX327694 OWT327694 PGP327694 PQL327694 QAH327694 QKD327694 QTZ327694 RDV327694 RNR327694 RXN327694 SHJ327694 SRF327694 TBB327694 TKX327694 TUT327694 UEP327694 UOL327694 UYH327694 VID327694 VRZ327694 WBV327694 WLR327694 WVN327694 F393230 JB393230 SX393230 ACT393230 AMP393230 AWL393230 BGH393230 BQD393230 BZZ393230 CJV393230 CTR393230 DDN393230 DNJ393230 DXF393230 EHB393230 EQX393230 FAT393230 FKP393230 FUL393230 GEH393230 GOD393230 GXZ393230 HHV393230 HRR393230 IBN393230 ILJ393230 IVF393230 JFB393230 JOX393230 JYT393230 KIP393230 KSL393230 LCH393230 LMD393230 LVZ393230 MFV393230 MPR393230 MZN393230 NJJ393230 NTF393230 ODB393230 OMX393230 OWT393230 PGP393230 PQL393230 QAH393230 QKD393230 QTZ393230 RDV393230 RNR393230 RXN393230 SHJ393230 SRF393230 TBB393230 TKX393230 TUT393230 UEP393230 UOL393230 UYH393230 VID393230 VRZ393230 WBV393230 WLR393230 WVN393230 F458766 JB458766 SX458766 ACT458766 AMP458766 AWL458766 BGH458766 BQD458766 BZZ458766 CJV458766 CTR458766 DDN458766 DNJ458766 DXF458766 EHB458766 EQX458766 FAT458766 FKP458766 FUL458766 GEH458766 GOD458766 GXZ458766 HHV458766 HRR458766 IBN458766 ILJ458766 IVF458766 JFB458766 JOX458766 JYT458766 KIP458766 KSL458766 LCH458766 LMD458766 LVZ458766 MFV458766 MPR458766 MZN458766 NJJ458766 NTF458766 ODB458766 OMX458766 OWT458766 PGP458766 PQL458766 QAH458766 QKD458766 QTZ458766 RDV458766 RNR458766 RXN458766 SHJ458766 SRF458766 TBB458766 TKX458766 TUT458766 UEP458766 UOL458766 UYH458766 VID458766 VRZ458766 WBV458766 WLR458766 WVN458766 F524302 JB524302 SX524302 ACT524302 AMP524302 AWL524302 BGH524302 BQD524302 BZZ524302 CJV524302 CTR524302 DDN524302 DNJ524302 DXF524302 EHB524302 EQX524302 FAT524302 FKP524302 FUL524302 GEH524302 GOD524302 GXZ524302 HHV524302 HRR524302 IBN524302 ILJ524302 IVF524302 JFB524302 JOX524302 JYT524302 KIP524302 KSL524302 LCH524302 LMD524302 LVZ524302 MFV524302 MPR524302 MZN524302 NJJ524302 NTF524302 ODB524302 OMX524302 OWT524302 PGP524302 PQL524302 QAH524302 QKD524302 QTZ524302 RDV524302 RNR524302 RXN524302 SHJ524302 SRF524302 TBB524302 TKX524302 TUT524302 UEP524302 UOL524302 UYH524302 VID524302 VRZ524302 WBV524302 WLR524302 WVN524302 F589838 JB589838 SX589838 ACT589838 AMP589838 AWL589838 BGH589838 BQD589838 BZZ589838 CJV589838 CTR589838 DDN589838 DNJ589838 DXF589838 EHB589838 EQX589838 FAT589838 FKP589838 FUL589838 GEH589838 GOD589838 GXZ589838 HHV589838 HRR589838 IBN589838 ILJ589838 IVF589838 JFB589838 JOX589838 JYT589838 KIP589838 KSL589838 LCH589838 LMD589838 LVZ589838 MFV589838 MPR589838 MZN589838 NJJ589838 NTF589838 ODB589838 OMX589838 OWT589838 PGP589838 PQL589838 QAH589838 QKD589838 QTZ589838 RDV589838 RNR589838 RXN589838 SHJ589838 SRF589838 TBB589838 TKX589838 TUT589838 UEP589838 UOL589838 UYH589838 VID589838 VRZ589838 WBV589838 WLR589838 WVN589838 F655374 JB655374 SX655374 ACT655374 AMP655374 AWL655374 BGH655374 BQD655374 BZZ655374 CJV655374 CTR655374 DDN655374 DNJ655374 DXF655374 EHB655374 EQX655374 FAT655374 FKP655374 FUL655374 GEH655374 GOD655374 GXZ655374 HHV655374 HRR655374 IBN655374 ILJ655374 IVF655374 JFB655374 JOX655374 JYT655374 KIP655374 KSL655374 LCH655374 LMD655374 LVZ655374 MFV655374 MPR655374 MZN655374 NJJ655374 NTF655374 ODB655374 OMX655374 OWT655374 PGP655374 PQL655374 QAH655374 QKD655374 QTZ655374 RDV655374 RNR655374 RXN655374 SHJ655374 SRF655374 TBB655374 TKX655374 TUT655374 UEP655374 UOL655374 UYH655374 VID655374 VRZ655374 WBV655374 WLR655374 WVN655374 F720910 JB720910 SX720910 ACT720910 AMP720910 AWL720910 BGH720910 BQD720910 BZZ720910 CJV720910 CTR720910 DDN720910 DNJ720910 DXF720910 EHB720910 EQX720910 FAT720910 FKP720910 FUL720910 GEH720910 GOD720910 GXZ720910 HHV720910 HRR720910 IBN720910 ILJ720910 IVF720910 JFB720910 JOX720910 JYT720910 KIP720910 KSL720910 LCH720910 LMD720910 LVZ720910 MFV720910 MPR720910 MZN720910 NJJ720910 NTF720910 ODB720910 OMX720910 OWT720910 PGP720910 PQL720910 QAH720910 QKD720910 QTZ720910 RDV720910 RNR720910 RXN720910 SHJ720910 SRF720910 TBB720910 TKX720910 TUT720910 UEP720910 UOL720910 UYH720910 VID720910 VRZ720910 WBV720910 WLR720910 WVN720910 F786446 JB786446 SX786446 ACT786446 AMP786446 AWL786446 BGH786446 BQD786446 BZZ786446 CJV786446 CTR786446 DDN786446 DNJ786446 DXF786446 EHB786446 EQX786446 FAT786446 FKP786446 FUL786446 GEH786446 GOD786446 GXZ786446 HHV786446 HRR786446 IBN786446 ILJ786446 IVF786446 JFB786446 JOX786446 JYT786446 KIP786446 KSL786446 LCH786446 LMD786446 LVZ786446 MFV786446 MPR786446 MZN786446 NJJ786446 NTF786446 ODB786446 OMX786446 OWT786446 PGP786446 PQL786446 QAH786446 QKD786446 QTZ786446 RDV786446 RNR786446 RXN786446 SHJ786446 SRF786446 TBB786446 TKX786446 TUT786446 UEP786446 UOL786446 UYH786446 VID786446 VRZ786446 WBV786446 WLR786446 WVN786446 F851982 JB851982 SX851982 ACT851982 AMP851982 AWL851982 BGH851982 BQD851982 BZZ851982 CJV851982 CTR851982 DDN851982 DNJ851982 DXF851982 EHB851982 EQX851982 FAT851982 FKP851982 FUL851982 GEH851982 GOD851982 GXZ851982 HHV851982 HRR851982 IBN851982 ILJ851982 IVF851982 JFB851982 JOX851982 JYT851982 KIP851982 KSL851982 LCH851982 LMD851982 LVZ851982 MFV851982 MPR851982 MZN851982 NJJ851982 NTF851982 ODB851982 OMX851982 OWT851982 PGP851982 PQL851982 QAH851982 QKD851982 QTZ851982 RDV851982 RNR851982 RXN851982 SHJ851982 SRF851982 TBB851982 TKX851982 TUT851982 UEP851982 UOL851982 UYH851982 VID851982 VRZ851982 WBV851982 WLR851982 WVN851982 F917518 JB917518 SX917518 ACT917518 AMP917518 AWL917518 BGH917518 BQD917518 BZZ917518 CJV917518 CTR917518 DDN917518 DNJ917518 DXF917518 EHB917518 EQX917518 FAT917518 FKP917518 FUL917518 GEH917518 GOD917518 GXZ917518 HHV917518 HRR917518 IBN917518 ILJ917518 IVF917518 JFB917518 JOX917518 JYT917518 KIP917518 KSL917518 LCH917518 LMD917518 LVZ917518 MFV917518 MPR917518 MZN917518 NJJ917518 NTF917518 ODB917518 OMX917518 OWT917518 PGP917518 PQL917518 QAH917518 QKD917518 QTZ917518 RDV917518 RNR917518 RXN917518 SHJ917518 SRF917518 TBB917518 TKX917518 TUT917518 UEP917518 UOL917518 UYH917518 VID917518 VRZ917518 WBV917518 WLR917518 WVN917518 F983054 JB983054 SX983054 ACT983054 AMP983054 AWL983054 BGH983054 BQD983054 BZZ983054 CJV983054 CTR983054 DDN983054 DNJ983054 DXF983054 EHB983054 EQX983054 FAT983054 FKP983054 FUL983054 GEH983054 GOD983054 GXZ983054 HHV983054 HRR983054 IBN983054 ILJ983054 IVF983054 JFB983054 JOX983054 JYT983054 KIP983054 KSL983054 LCH983054 LMD983054 LVZ983054 MFV983054 MPR983054 MZN983054 NJJ983054 NTF983054 ODB983054 OMX983054 OWT983054 PGP983054 PQL983054 QAH983054 QKD983054 QTZ983054 RDV983054 RNR983054 RXN983054 SHJ983054 SRF983054 TBB983054 TKX983054 TUT983054 UEP983054 UOL983054 UYH983054 VID983054 VRZ983054 WBV983054 WLR983054 WVN983054 F16 JB16 SX16 ACT16 AMP16 AWL16 BGH16 BQD16 BZZ16 CJV16 CTR16 DDN16 DNJ16 DXF16 EHB16 EQX16 FAT16 FKP16 FUL16 GEH16 GOD16 GXZ16 HHV16 HRR16 IBN16 ILJ16 IVF16 JFB16 JOX16 JYT16 KIP16 KSL16 LCH16 LMD16 LVZ16 MFV16 MPR16 MZN16 NJJ16 NTF16 ODB16 OMX16 OWT16 PGP16 PQL16 QAH16 QKD16 QTZ16 RDV16 RNR16 RXN16 SHJ16 SRF16 TBB16 TKX16 TUT16 UEP16 UOL16 UYH16 VID16 VRZ16 WBV16 WLR16 WVN16 F65552 JB65552 SX65552 ACT65552 AMP65552 AWL65552 BGH65552 BQD65552 BZZ65552 CJV65552 CTR65552 DDN65552 DNJ65552 DXF65552 EHB65552 EQX65552 FAT65552 FKP65552 FUL65552 GEH65552 GOD65552 GXZ65552 HHV65552 HRR65552 IBN65552 ILJ65552 IVF65552 JFB65552 JOX65552 JYT65552 KIP65552 KSL65552 LCH65552 LMD65552 LVZ65552 MFV65552 MPR65552 MZN65552 NJJ65552 NTF65552 ODB65552 OMX65552 OWT65552 PGP65552 PQL65552 QAH65552 QKD65552 QTZ65552 RDV65552 RNR65552 RXN65552 SHJ65552 SRF65552 TBB65552 TKX65552 TUT65552 UEP65552 UOL65552 UYH65552 VID65552 VRZ65552 WBV65552 WLR65552 WVN65552 F131088 JB131088 SX131088 ACT131088 AMP131088 AWL131088 BGH131088 BQD131088 BZZ131088 CJV131088 CTR131088 DDN131088 DNJ131088 DXF131088 EHB131088 EQX131088 FAT131088 FKP131088 FUL131088 GEH131088 GOD131088 GXZ131088 HHV131088 HRR131088 IBN131088 ILJ131088 IVF131088 JFB131088 JOX131088 JYT131088 KIP131088 KSL131088 LCH131088 LMD131088 LVZ131088 MFV131088 MPR131088 MZN131088 NJJ131088 NTF131088 ODB131088 OMX131088 OWT131088 PGP131088 PQL131088 QAH131088 QKD131088 QTZ131088 RDV131088 RNR131088 RXN131088 SHJ131088 SRF131088 TBB131088 TKX131088 TUT131088 UEP131088 UOL131088 UYH131088 VID131088 VRZ131088 WBV131088 WLR131088 WVN131088 F196624 JB196624 SX196624 ACT196624 AMP196624 AWL196624 BGH196624 BQD196624 BZZ196624 CJV196624 CTR196624 DDN196624 DNJ196624 DXF196624 EHB196624 EQX196624 FAT196624 FKP196624 FUL196624 GEH196624 GOD196624 GXZ196624 HHV196624 HRR196624 IBN196624 ILJ196624 IVF196624 JFB196624 JOX196624 JYT196624 KIP196624 KSL196624 LCH196624 LMD196624 LVZ196624 MFV196624 MPR196624 MZN196624 NJJ196624 NTF196624 ODB196624 OMX196624 OWT196624 PGP196624 PQL196624 QAH196624 QKD196624 QTZ196624 RDV196624 RNR196624 RXN196624 SHJ196624 SRF196624 TBB196624 TKX196624 TUT196624 UEP196624 UOL196624 UYH196624 VID196624 VRZ196624 WBV196624 WLR196624 WVN196624 F262160 JB262160 SX262160 ACT262160 AMP262160 AWL262160 BGH262160 BQD262160 BZZ262160 CJV262160 CTR262160 DDN262160 DNJ262160 DXF262160 EHB262160 EQX262160 FAT262160 FKP262160 FUL262160 GEH262160 GOD262160 GXZ262160 HHV262160 HRR262160 IBN262160 ILJ262160 IVF262160 JFB262160 JOX262160 JYT262160 KIP262160 KSL262160 LCH262160 LMD262160 LVZ262160 MFV262160 MPR262160 MZN262160 NJJ262160 NTF262160 ODB262160 OMX262160 OWT262160 PGP262160 PQL262160 QAH262160 QKD262160 QTZ262160 RDV262160 RNR262160 RXN262160 SHJ262160 SRF262160 TBB262160 TKX262160 TUT262160 UEP262160 UOL262160 UYH262160 VID262160 VRZ262160 WBV262160 WLR262160 WVN262160 F327696 JB327696 SX327696 ACT327696 AMP327696 AWL327696 BGH327696 BQD327696 BZZ327696 CJV327696 CTR327696 DDN327696 DNJ327696 DXF327696 EHB327696 EQX327696 FAT327696 FKP327696 FUL327696 GEH327696 GOD327696 GXZ327696 HHV327696 HRR327696 IBN327696 ILJ327696 IVF327696 JFB327696 JOX327696 JYT327696 KIP327696 KSL327696 LCH327696 LMD327696 LVZ327696 MFV327696 MPR327696 MZN327696 NJJ327696 NTF327696 ODB327696 OMX327696 OWT327696 PGP327696 PQL327696 QAH327696 QKD327696 QTZ327696 RDV327696 RNR327696 RXN327696 SHJ327696 SRF327696 TBB327696 TKX327696 TUT327696 UEP327696 UOL327696 UYH327696 VID327696 VRZ327696 WBV327696 WLR327696 WVN327696 F393232 JB393232 SX393232 ACT393232 AMP393232 AWL393232 BGH393232 BQD393232 BZZ393232 CJV393232 CTR393232 DDN393232 DNJ393232 DXF393232 EHB393232 EQX393232 FAT393232 FKP393232 FUL393232 GEH393232 GOD393232 GXZ393232 HHV393232 HRR393232 IBN393232 ILJ393232 IVF393232 JFB393232 JOX393232 JYT393232 KIP393232 KSL393232 LCH393232 LMD393232 LVZ393232 MFV393232 MPR393232 MZN393232 NJJ393232 NTF393232 ODB393232 OMX393232 OWT393232 PGP393232 PQL393232 QAH393232 QKD393232 QTZ393232 RDV393232 RNR393232 RXN393232 SHJ393232 SRF393232 TBB393232 TKX393232 TUT393232 UEP393232 UOL393232 UYH393232 VID393232 VRZ393232 WBV393232 WLR393232 WVN393232 F458768 JB458768 SX458768 ACT458768 AMP458768 AWL458768 BGH458768 BQD458768 BZZ458768 CJV458768 CTR458768 DDN458768 DNJ458768 DXF458768 EHB458768 EQX458768 FAT458768 FKP458768 FUL458768 GEH458768 GOD458768 GXZ458768 HHV458768 HRR458768 IBN458768 ILJ458768 IVF458768 JFB458768 JOX458768 JYT458768 KIP458768 KSL458768 LCH458768 LMD458768 LVZ458768 MFV458768 MPR458768 MZN458768 NJJ458768 NTF458768 ODB458768 OMX458768 OWT458768 PGP458768 PQL458768 QAH458768 QKD458768 QTZ458768 RDV458768 RNR458768 RXN458768 SHJ458768 SRF458768 TBB458768 TKX458768 TUT458768 UEP458768 UOL458768 UYH458768 VID458768 VRZ458768 WBV458768 WLR458768 WVN458768 F524304 JB524304 SX524304 ACT524304 AMP524304 AWL524304 BGH524304 BQD524304 BZZ524304 CJV524304 CTR524304 DDN524304 DNJ524304 DXF524304 EHB524304 EQX524304 FAT524304 FKP524304 FUL524304 GEH524304 GOD524304 GXZ524304 HHV524304 HRR524304 IBN524304 ILJ524304 IVF524304 JFB524304 JOX524304 JYT524304 KIP524304 KSL524304 LCH524304 LMD524304 LVZ524304 MFV524304 MPR524304 MZN524304 NJJ524304 NTF524304 ODB524304 OMX524304 OWT524304 PGP524304 PQL524304 QAH524304 QKD524304 QTZ524304 RDV524304 RNR524304 RXN524304 SHJ524304 SRF524304 TBB524304 TKX524304 TUT524304 UEP524304 UOL524304 UYH524304 VID524304 VRZ524304 WBV524304 WLR524304 WVN524304 F589840 JB589840 SX589840 ACT589840 AMP589840 AWL589840 BGH589840 BQD589840 BZZ589840 CJV589840 CTR589840 DDN589840 DNJ589840 DXF589840 EHB589840 EQX589840 FAT589840 FKP589840 FUL589840 GEH589840 GOD589840 GXZ589840 HHV589840 HRR589840 IBN589840 ILJ589840 IVF589840 JFB589840 JOX589840 JYT589840 KIP589840 KSL589840 LCH589840 LMD589840 LVZ589840 MFV589840 MPR589840 MZN589840 NJJ589840 NTF589840 ODB589840 OMX589840 OWT589840 PGP589840 PQL589840 QAH589840 QKD589840 QTZ589840 RDV589840 RNR589840 RXN589840 SHJ589840 SRF589840 TBB589840 TKX589840 TUT589840 UEP589840 UOL589840 UYH589840 VID589840 VRZ589840 WBV589840 WLR589840 WVN589840 F655376 JB655376 SX655376 ACT655376 AMP655376 AWL655376 BGH655376 BQD655376 BZZ655376 CJV655376 CTR655376 DDN655376 DNJ655376 DXF655376 EHB655376 EQX655376 FAT655376 FKP655376 FUL655376 GEH655376 GOD655376 GXZ655376 HHV655376 HRR655376 IBN655376 ILJ655376 IVF655376 JFB655376 JOX655376 JYT655376 KIP655376 KSL655376 LCH655376 LMD655376 LVZ655376 MFV655376 MPR655376 MZN655376 NJJ655376 NTF655376 ODB655376 OMX655376 OWT655376 PGP655376 PQL655376 QAH655376 QKD655376 QTZ655376 RDV655376 RNR655376 RXN655376 SHJ655376 SRF655376 TBB655376 TKX655376 TUT655376 UEP655376 UOL655376 UYH655376 VID655376 VRZ655376 WBV655376 WLR655376 WVN655376 F720912 JB720912 SX720912 ACT720912 AMP720912 AWL720912 BGH720912 BQD720912 BZZ720912 CJV720912 CTR720912 DDN720912 DNJ720912 DXF720912 EHB720912 EQX720912 FAT720912 FKP720912 FUL720912 GEH720912 GOD720912 GXZ720912 HHV720912 HRR720912 IBN720912 ILJ720912 IVF720912 JFB720912 JOX720912 JYT720912 KIP720912 KSL720912 LCH720912 LMD720912 LVZ720912 MFV720912 MPR720912 MZN720912 NJJ720912 NTF720912 ODB720912 OMX720912 OWT720912 PGP720912 PQL720912 QAH720912 QKD720912 QTZ720912 RDV720912 RNR720912 RXN720912 SHJ720912 SRF720912 TBB720912 TKX720912 TUT720912 UEP720912 UOL720912 UYH720912 VID720912 VRZ720912 WBV720912 WLR720912 WVN720912 F786448 JB786448 SX786448 ACT786448 AMP786448 AWL786448 BGH786448 BQD786448 BZZ786448 CJV786448 CTR786448 DDN786448 DNJ786448 DXF786448 EHB786448 EQX786448 FAT786448 FKP786448 FUL786448 GEH786448 GOD786448 GXZ786448 HHV786448 HRR786448 IBN786448 ILJ786448 IVF786448 JFB786448 JOX786448 JYT786448 KIP786448 KSL786448 LCH786448 LMD786448 LVZ786448 MFV786448 MPR786448 MZN786448 NJJ786448 NTF786448 ODB786448 OMX786448 OWT786448 PGP786448 PQL786448 QAH786448 QKD786448 QTZ786448 RDV786448 RNR786448 RXN786448 SHJ786448 SRF786448 TBB786448 TKX786448 TUT786448 UEP786448 UOL786448 UYH786448 VID786448 VRZ786448 WBV786448 WLR786448 WVN786448 F851984 JB851984 SX851984 ACT851984 AMP851984 AWL851984 BGH851984 BQD851984 BZZ851984 CJV851984 CTR851984 DDN851984 DNJ851984 DXF851984 EHB851984 EQX851984 FAT851984 FKP851984 FUL851984 GEH851984 GOD851984 GXZ851984 HHV851984 HRR851984 IBN851984 ILJ851984 IVF851984 JFB851984 JOX851984 JYT851984 KIP851984 KSL851984 LCH851984 LMD851984 LVZ851984 MFV851984 MPR851984 MZN851984 NJJ851984 NTF851984 ODB851984 OMX851984 OWT851984 PGP851984 PQL851984 QAH851984 QKD851984 QTZ851984 RDV851984 RNR851984 RXN851984 SHJ851984 SRF851984 TBB851984 TKX851984 TUT851984 UEP851984 UOL851984 UYH851984 VID851984 VRZ851984 WBV851984 WLR851984 WVN851984 F917520 JB917520 SX917520 ACT917520 AMP917520 AWL917520 BGH917520 BQD917520 BZZ917520 CJV917520 CTR917520 DDN917520 DNJ917520 DXF917520 EHB917520 EQX917520 FAT917520 FKP917520 FUL917520 GEH917520 GOD917520 GXZ917520 HHV917520 HRR917520 IBN917520 ILJ917520 IVF917520 JFB917520 JOX917520 JYT917520 KIP917520 KSL917520 LCH917520 LMD917520 LVZ917520 MFV917520 MPR917520 MZN917520 NJJ917520 NTF917520 ODB917520 OMX917520 OWT917520 PGP917520 PQL917520 QAH917520 QKD917520 QTZ917520 RDV917520 RNR917520 RXN917520 SHJ917520 SRF917520 TBB917520 TKX917520 TUT917520 UEP917520 UOL917520 UYH917520 VID917520 VRZ917520 WBV917520 WLR917520 WVN917520 F983056 JB983056 SX983056 ACT983056 AMP983056 AWL983056 BGH983056 BQD983056 BZZ983056 CJV983056 CTR983056 DDN983056 DNJ983056 DXF983056 EHB983056 EQX983056 FAT983056 FKP983056 FUL983056 GEH983056 GOD983056 GXZ983056 HHV983056 HRR983056 IBN983056 ILJ983056 IVF983056 JFB983056 JOX983056 JYT983056 KIP983056 KSL983056 LCH983056 LMD983056 LVZ983056 MFV983056 MPR983056 MZN983056 NJJ983056 NTF983056 ODB983056 OMX983056 OWT983056 PGP983056 PQL983056 QAH983056 QKD983056 QTZ983056 RDV983056 RNR983056 RXN983056 SHJ983056 SRF983056 TBB983056 TKX983056 TUT983056 UEP983056 UOL983056 UYH983056 VID983056 VRZ983056 WBV983056 WLR983056 WVN983056 F18:F25 JB18:JB25 SX18:SX25 ACT18:ACT25 AMP18:AMP25 AWL18:AWL25 BGH18:BGH25 BQD18:BQD25 BZZ18:BZZ25 CJV18:CJV25 CTR18:CTR25 DDN18:DDN25 DNJ18:DNJ25 DXF18:DXF25 EHB18:EHB25 EQX18:EQX25 FAT18:FAT25 FKP18:FKP25 FUL18:FUL25 GEH18:GEH25 GOD18:GOD25 GXZ18:GXZ25 HHV18:HHV25 HRR18:HRR25 IBN18:IBN25 ILJ18:ILJ25 IVF18:IVF25 JFB18:JFB25 JOX18:JOX25 JYT18:JYT25 KIP18:KIP25 KSL18:KSL25 LCH18:LCH25 LMD18:LMD25 LVZ18:LVZ25 MFV18:MFV25 MPR18:MPR25 MZN18:MZN25 NJJ18:NJJ25 NTF18:NTF25 ODB18:ODB25 OMX18:OMX25 OWT18:OWT25 PGP18:PGP25 PQL18:PQL25 QAH18:QAH25 QKD18:QKD25 QTZ18:QTZ25 RDV18:RDV25 RNR18:RNR25 RXN18:RXN25 SHJ18:SHJ25 SRF18:SRF25 TBB18:TBB25 TKX18:TKX25 TUT18:TUT25 UEP18:UEP25 UOL18:UOL25 UYH18:UYH25 VID18:VID25 VRZ18:VRZ25 WBV18:WBV25 WLR18:WLR25 WVN18:WVN25 F65554:F65561 JB65554:JB65561 SX65554:SX65561 ACT65554:ACT65561 AMP65554:AMP65561 AWL65554:AWL65561 BGH65554:BGH65561 BQD65554:BQD65561 BZZ65554:BZZ65561 CJV65554:CJV65561 CTR65554:CTR65561 DDN65554:DDN65561 DNJ65554:DNJ65561 DXF65554:DXF65561 EHB65554:EHB65561 EQX65554:EQX65561 FAT65554:FAT65561 FKP65554:FKP65561 FUL65554:FUL65561 GEH65554:GEH65561 GOD65554:GOD65561 GXZ65554:GXZ65561 HHV65554:HHV65561 HRR65554:HRR65561 IBN65554:IBN65561 ILJ65554:ILJ65561 IVF65554:IVF65561 JFB65554:JFB65561 JOX65554:JOX65561 JYT65554:JYT65561 KIP65554:KIP65561 KSL65554:KSL65561 LCH65554:LCH65561 LMD65554:LMD65561 LVZ65554:LVZ65561 MFV65554:MFV65561 MPR65554:MPR65561 MZN65554:MZN65561 NJJ65554:NJJ65561 NTF65554:NTF65561 ODB65554:ODB65561 OMX65554:OMX65561 OWT65554:OWT65561 PGP65554:PGP65561 PQL65554:PQL65561 QAH65554:QAH65561 QKD65554:QKD65561 QTZ65554:QTZ65561 RDV65554:RDV65561 RNR65554:RNR65561 RXN65554:RXN65561 SHJ65554:SHJ65561 SRF65554:SRF65561 TBB65554:TBB65561 TKX65554:TKX65561 TUT65554:TUT65561 UEP65554:UEP65561 UOL65554:UOL65561 UYH65554:UYH65561 VID65554:VID65561 VRZ65554:VRZ65561 WBV65554:WBV65561 WLR65554:WLR65561 WVN65554:WVN65561 F131090:F131097 JB131090:JB131097 SX131090:SX131097 ACT131090:ACT131097 AMP131090:AMP131097 AWL131090:AWL131097 BGH131090:BGH131097 BQD131090:BQD131097 BZZ131090:BZZ131097 CJV131090:CJV131097 CTR131090:CTR131097 DDN131090:DDN131097 DNJ131090:DNJ131097 DXF131090:DXF131097 EHB131090:EHB131097 EQX131090:EQX131097 FAT131090:FAT131097 FKP131090:FKP131097 FUL131090:FUL131097 GEH131090:GEH131097 GOD131090:GOD131097 GXZ131090:GXZ131097 HHV131090:HHV131097 HRR131090:HRR131097 IBN131090:IBN131097 ILJ131090:ILJ131097 IVF131090:IVF131097 JFB131090:JFB131097 JOX131090:JOX131097 JYT131090:JYT131097 KIP131090:KIP131097 KSL131090:KSL131097 LCH131090:LCH131097 LMD131090:LMD131097 LVZ131090:LVZ131097 MFV131090:MFV131097 MPR131090:MPR131097 MZN131090:MZN131097 NJJ131090:NJJ131097 NTF131090:NTF131097 ODB131090:ODB131097 OMX131090:OMX131097 OWT131090:OWT131097 PGP131090:PGP131097 PQL131090:PQL131097 QAH131090:QAH131097 QKD131090:QKD131097 QTZ131090:QTZ131097 RDV131090:RDV131097 RNR131090:RNR131097 RXN131090:RXN131097 SHJ131090:SHJ131097 SRF131090:SRF131097 TBB131090:TBB131097 TKX131090:TKX131097 TUT131090:TUT131097 UEP131090:UEP131097 UOL131090:UOL131097 UYH131090:UYH131097 VID131090:VID131097 VRZ131090:VRZ131097 WBV131090:WBV131097 WLR131090:WLR131097 WVN131090:WVN131097 F196626:F196633 JB196626:JB196633 SX196626:SX196633 ACT196626:ACT196633 AMP196626:AMP196633 AWL196626:AWL196633 BGH196626:BGH196633 BQD196626:BQD196633 BZZ196626:BZZ196633 CJV196626:CJV196633 CTR196626:CTR196633 DDN196626:DDN196633 DNJ196626:DNJ196633 DXF196626:DXF196633 EHB196626:EHB196633 EQX196626:EQX196633 FAT196626:FAT196633 FKP196626:FKP196633 FUL196626:FUL196633 GEH196626:GEH196633 GOD196626:GOD196633 GXZ196626:GXZ196633 HHV196626:HHV196633 HRR196626:HRR196633 IBN196626:IBN196633 ILJ196626:ILJ196633 IVF196626:IVF196633 JFB196626:JFB196633 JOX196626:JOX196633 JYT196626:JYT196633 KIP196626:KIP196633 KSL196626:KSL196633 LCH196626:LCH196633 LMD196626:LMD196633 LVZ196626:LVZ196633 MFV196626:MFV196633 MPR196626:MPR196633 MZN196626:MZN196633 NJJ196626:NJJ196633 NTF196626:NTF196633 ODB196626:ODB196633 OMX196626:OMX196633 OWT196626:OWT196633 PGP196626:PGP196633 PQL196626:PQL196633 QAH196626:QAH196633 QKD196626:QKD196633 QTZ196626:QTZ196633 RDV196626:RDV196633 RNR196626:RNR196633 RXN196626:RXN196633 SHJ196626:SHJ196633 SRF196626:SRF196633 TBB196626:TBB196633 TKX196626:TKX196633 TUT196626:TUT196633 UEP196626:UEP196633 UOL196626:UOL196633 UYH196626:UYH196633 VID196626:VID196633 VRZ196626:VRZ196633 WBV196626:WBV196633 WLR196626:WLR196633 WVN196626:WVN196633 F262162:F262169 JB262162:JB262169 SX262162:SX262169 ACT262162:ACT262169 AMP262162:AMP262169 AWL262162:AWL262169 BGH262162:BGH262169 BQD262162:BQD262169 BZZ262162:BZZ262169 CJV262162:CJV262169 CTR262162:CTR262169 DDN262162:DDN262169 DNJ262162:DNJ262169 DXF262162:DXF262169 EHB262162:EHB262169 EQX262162:EQX262169 FAT262162:FAT262169 FKP262162:FKP262169 FUL262162:FUL262169 GEH262162:GEH262169 GOD262162:GOD262169 GXZ262162:GXZ262169 HHV262162:HHV262169 HRR262162:HRR262169 IBN262162:IBN262169 ILJ262162:ILJ262169 IVF262162:IVF262169 JFB262162:JFB262169 JOX262162:JOX262169 JYT262162:JYT262169 KIP262162:KIP262169 KSL262162:KSL262169 LCH262162:LCH262169 LMD262162:LMD262169 LVZ262162:LVZ262169 MFV262162:MFV262169 MPR262162:MPR262169 MZN262162:MZN262169 NJJ262162:NJJ262169 NTF262162:NTF262169 ODB262162:ODB262169 OMX262162:OMX262169 OWT262162:OWT262169 PGP262162:PGP262169 PQL262162:PQL262169 QAH262162:QAH262169 QKD262162:QKD262169 QTZ262162:QTZ262169 RDV262162:RDV262169 RNR262162:RNR262169 RXN262162:RXN262169 SHJ262162:SHJ262169 SRF262162:SRF262169 TBB262162:TBB262169 TKX262162:TKX262169 TUT262162:TUT262169 UEP262162:UEP262169 UOL262162:UOL262169 UYH262162:UYH262169 VID262162:VID262169 VRZ262162:VRZ262169 WBV262162:WBV262169 WLR262162:WLR262169 WVN262162:WVN262169 F327698:F327705 JB327698:JB327705 SX327698:SX327705 ACT327698:ACT327705 AMP327698:AMP327705 AWL327698:AWL327705 BGH327698:BGH327705 BQD327698:BQD327705 BZZ327698:BZZ327705 CJV327698:CJV327705 CTR327698:CTR327705 DDN327698:DDN327705 DNJ327698:DNJ327705 DXF327698:DXF327705 EHB327698:EHB327705 EQX327698:EQX327705 FAT327698:FAT327705 FKP327698:FKP327705 FUL327698:FUL327705 GEH327698:GEH327705 GOD327698:GOD327705 GXZ327698:GXZ327705 HHV327698:HHV327705 HRR327698:HRR327705 IBN327698:IBN327705 ILJ327698:ILJ327705 IVF327698:IVF327705 JFB327698:JFB327705 JOX327698:JOX327705 JYT327698:JYT327705 KIP327698:KIP327705 KSL327698:KSL327705 LCH327698:LCH327705 LMD327698:LMD327705 LVZ327698:LVZ327705 MFV327698:MFV327705 MPR327698:MPR327705 MZN327698:MZN327705 NJJ327698:NJJ327705 NTF327698:NTF327705 ODB327698:ODB327705 OMX327698:OMX327705 OWT327698:OWT327705 PGP327698:PGP327705 PQL327698:PQL327705 QAH327698:QAH327705 QKD327698:QKD327705 QTZ327698:QTZ327705 RDV327698:RDV327705 RNR327698:RNR327705 RXN327698:RXN327705 SHJ327698:SHJ327705 SRF327698:SRF327705 TBB327698:TBB327705 TKX327698:TKX327705 TUT327698:TUT327705 UEP327698:UEP327705 UOL327698:UOL327705 UYH327698:UYH327705 VID327698:VID327705 VRZ327698:VRZ327705 WBV327698:WBV327705 WLR327698:WLR327705 WVN327698:WVN327705 F393234:F393241 JB393234:JB393241 SX393234:SX393241 ACT393234:ACT393241 AMP393234:AMP393241 AWL393234:AWL393241 BGH393234:BGH393241 BQD393234:BQD393241 BZZ393234:BZZ393241 CJV393234:CJV393241 CTR393234:CTR393241 DDN393234:DDN393241 DNJ393234:DNJ393241 DXF393234:DXF393241 EHB393234:EHB393241 EQX393234:EQX393241 FAT393234:FAT393241 FKP393234:FKP393241 FUL393234:FUL393241 GEH393234:GEH393241 GOD393234:GOD393241 GXZ393234:GXZ393241 HHV393234:HHV393241 HRR393234:HRR393241 IBN393234:IBN393241 ILJ393234:ILJ393241 IVF393234:IVF393241 JFB393234:JFB393241 JOX393234:JOX393241 JYT393234:JYT393241 KIP393234:KIP393241 KSL393234:KSL393241 LCH393234:LCH393241 LMD393234:LMD393241 LVZ393234:LVZ393241 MFV393234:MFV393241 MPR393234:MPR393241 MZN393234:MZN393241 NJJ393234:NJJ393241 NTF393234:NTF393241 ODB393234:ODB393241 OMX393234:OMX393241 OWT393234:OWT393241 PGP393234:PGP393241 PQL393234:PQL393241 QAH393234:QAH393241 QKD393234:QKD393241 QTZ393234:QTZ393241 RDV393234:RDV393241 RNR393234:RNR393241 RXN393234:RXN393241 SHJ393234:SHJ393241 SRF393234:SRF393241 TBB393234:TBB393241 TKX393234:TKX393241 TUT393234:TUT393241 UEP393234:UEP393241 UOL393234:UOL393241 UYH393234:UYH393241 VID393234:VID393241 VRZ393234:VRZ393241 WBV393234:WBV393241 WLR393234:WLR393241 WVN393234:WVN393241 F458770:F458777 JB458770:JB458777 SX458770:SX458777 ACT458770:ACT458777 AMP458770:AMP458777 AWL458770:AWL458777 BGH458770:BGH458777 BQD458770:BQD458777 BZZ458770:BZZ458777 CJV458770:CJV458777 CTR458770:CTR458777 DDN458770:DDN458777 DNJ458770:DNJ458777 DXF458770:DXF458777 EHB458770:EHB458777 EQX458770:EQX458777 FAT458770:FAT458777 FKP458770:FKP458777 FUL458770:FUL458777 GEH458770:GEH458777 GOD458770:GOD458777 GXZ458770:GXZ458777 HHV458770:HHV458777 HRR458770:HRR458777 IBN458770:IBN458777 ILJ458770:ILJ458777 IVF458770:IVF458777 JFB458770:JFB458777 JOX458770:JOX458777 JYT458770:JYT458777 KIP458770:KIP458777 KSL458770:KSL458777 LCH458770:LCH458777 LMD458770:LMD458777 LVZ458770:LVZ458777 MFV458770:MFV458777 MPR458770:MPR458777 MZN458770:MZN458777 NJJ458770:NJJ458777 NTF458770:NTF458777 ODB458770:ODB458777 OMX458770:OMX458777 OWT458770:OWT458777 PGP458770:PGP458777 PQL458770:PQL458777 QAH458770:QAH458777 QKD458770:QKD458777 QTZ458770:QTZ458777 RDV458770:RDV458777 RNR458770:RNR458777 RXN458770:RXN458777 SHJ458770:SHJ458777 SRF458770:SRF458777 TBB458770:TBB458777 TKX458770:TKX458777 TUT458770:TUT458777 UEP458770:UEP458777 UOL458770:UOL458777 UYH458770:UYH458777 VID458770:VID458777 VRZ458770:VRZ458777 WBV458770:WBV458777 WLR458770:WLR458777 WVN458770:WVN458777 F524306:F524313 JB524306:JB524313 SX524306:SX524313 ACT524306:ACT524313 AMP524306:AMP524313 AWL524306:AWL524313 BGH524306:BGH524313 BQD524306:BQD524313 BZZ524306:BZZ524313 CJV524306:CJV524313 CTR524306:CTR524313 DDN524306:DDN524313 DNJ524306:DNJ524313 DXF524306:DXF524313 EHB524306:EHB524313 EQX524306:EQX524313 FAT524306:FAT524313 FKP524306:FKP524313 FUL524306:FUL524313 GEH524306:GEH524313 GOD524306:GOD524313 GXZ524306:GXZ524313 HHV524306:HHV524313 HRR524306:HRR524313 IBN524306:IBN524313 ILJ524306:ILJ524313 IVF524306:IVF524313 JFB524306:JFB524313 JOX524306:JOX524313 JYT524306:JYT524313 KIP524306:KIP524313 KSL524306:KSL524313 LCH524306:LCH524313 LMD524306:LMD524313 LVZ524306:LVZ524313 MFV524306:MFV524313 MPR524306:MPR524313 MZN524306:MZN524313 NJJ524306:NJJ524313 NTF524306:NTF524313 ODB524306:ODB524313 OMX524306:OMX524313 OWT524306:OWT524313 PGP524306:PGP524313 PQL524306:PQL524313 QAH524306:QAH524313 QKD524306:QKD524313 QTZ524306:QTZ524313 RDV524306:RDV524313 RNR524306:RNR524313 RXN524306:RXN524313 SHJ524306:SHJ524313 SRF524306:SRF524313 TBB524306:TBB524313 TKX524306:TKX524313 TUT524306:TUT524313 UEP524306:UEP524313 UOL524306:UOL524313 UYH524306:UYH524313 VID524306:VID524313 VRZ524306:VRZ524313 WBV524306:WBV524313 WLR524306:WLR524313 WVN524306:WVN524313 F589842:F589849 JB589842:JB589849 SX589842:SX589849 ACT589842:ACT589849 AMP589842:AMP589849 AWL589842:AWL589849 BGH589842:BGH589849 BQD589842:BQD589849 BZZ589842:BZZ589849 CJV589842:CJV589849 CTR589842:CTR589849 DDN589842:DDN589849 DNJ589842:DNJ589849 DXF589842:DXF589849 EHB589842:EHB589849 EQX589842:EQX589849 FAT589842:FAT589849 FKP589842:FKP589849 FUL589842:FUL589849 GEH589842:GEH589849 GOD589842:GOD589849 GXZ589842:GXZ589849 HHV589842:HHV589849 HRR589842:HRR589849 IBN589842:IBN589849 ILJ589842:ILJ589849 IVF589842:IVF589849 JFB589842:JFB589849 JOX589842:JOX589849 JYT589842:JYT589849 KIP589842:KIP589849 KSL589842:KSL589849 LCH589842:LCH589849 LMD589842:LMD589849 LVZ589842:LVZ589849 MFV589842:MFV589849 MPR589842:MPR589849 MZN589842:MZN589849 NJJ589842:NJJ589849 NTF589842:NTF589849 ODB589842:ODB589849 OMX589842:OMX589849 OWT589842:OWT589849 PGP589842:PGP589849 PQL589842:PQL589849 QAH589842:QAH589849 QKD589842:QKD589849 QTZ589842:QTZ589849 RDV589842:RDV589849 RNR589842:RNR589849 RXN589842:RXN589849 SHJ589842:SHJ589849 SRF589842:SRF589849 TBB589842:TBB589849 TKX589842:TKX589849 TUT589842:TUT589849 UEP589842:UEP589849 UOL589842:UOL589849 UYH589842:UYH589849 VID589842:VID589849 VRZ589842:VRZ589849 WBV589842:WBV589849 WLR589842:WLR589849 WVN589842:WVN589849 F655378:F655385 JB655378:JB655385 SX655378:SX655385 ACT655378:ACT655385 AMP655378:AMP655385 AWL655378:AWL655385 BGH655378:BGH655385 BQD655378:BQD655385 BZZ655378:BZZ655385 CJV655378:CJV655385 CTR655378:CTR655385 DDN655378:DDN655385 DNJ655378:DNJ655385 DXF655378:DXF655385 EHB655378:EHB655385 EQX655378:EQX655385 FAT655378:FAT655385 FKP655378:FKP655385 FUL655378:FUL655385 GEH655378:GEH655385 GOD655378:GOD655385 GXZ655378:GXZ655385 HHV655378:HHV655385 HRR655378:HRR655385 IBN655378:IBN655385 ILJ655378:ILJ655385 IVF655378:IVF655385 JFB655378:JFB655385 JOX655378:JOX655385 JYT655378:JYT655385 KIP655378:KIP655385 KSL655378:KSL655385 LCH655378:LCH655385 LMD655378:LMD655385 LVZ655378:LVZ655385 MFV655378:MFV655385 MPR655378:MPR655385 MZN655378:MZN655385 NJJ655378:NJJ655385 NTF655378:NTF655385 ODB655378:ODB655385 OMX655378:OMX655385 OWT655378:OWT655385 PGP655378:PGP655385 PQL655378:PQL655385 QAH655378:QAH655385 QKD655378:QKD655385 QTZ655378:QTZ655385 RDV655378:RDV655385 RNR655378:RNR655385 RXN655378:RXN655385 SHJ655378:SHJ655385 SRF655378:SRF655385 TBB655378:TBB655385 TKX655378:TKX655385 TUT655378:TUT655385 UEP655378:UEP655385 UOL655378:UOL655385 UYH655378:UYH655385 VID655378:VID655385 VRZ655378:VRZ655385 WBV655378:WBV655385 WLR655378:WLR655385 WVN655378:WVN655385 F720914:F720921 JB720914:JB720921 SX720914:SX720921 ACT720914:ACT720921 AMP720914:AMP720921 AWL720914:AWL720921 BGH720914:BGH720921 BQD720914:BQD720921 BZZ720914:BZZ720921 CJV720914:CJV720921 CTR720914:CTR720921 DDN720914:DDN720921 DNJ720914:DNJ720921 DXF720914:DXF720921 EHB720914:EHB720921 EQX720914:EQX720921 FAT720914:FAT720921 FKP720914:FKP720921 FUL720914:FUL720921 GEH720914:GEH720921 GOD720914:GOD720921 GXZ720914:GXZ720921 HHV720914:HHV720921 HRR720914:HRR720921 IBN720914:IBN720921 ILJ720914:ILJ720921 IVF720914:IVF720921 JFB720914:JFB720921 JOX720914:JOX720921 JYT720914:JYT720921 KIP720914:KIP720921 KSL720914:KSL720921 LCH720914:LCH720921 LMD720914:LMD720921 LVZ720914:LVZ720921 MFV720914:MFV720921 MPR720914:MPR720921 MZN720914:MZN720921 NJJ720914:NJJ720921 NTF720914:NTF720921 ODB720914:ODB720921 OMX720914:OMX720921 OWT720914:OWT720921 PGP720914:PGP720921 PQL720914:PQL720921 QAH720914:QAH720921 QKD720914:QKD720921 QTZ720914:QTZ720921 RDV720914:RDV720921 RNR720914:RNR720921 RXN720914:RXN720921 SHJ720914:SHJ720921 SRF720914:SRF720921 TBB720914:TBB720921 TKX720914:TKX720921 TUT720914:TUT720921 UEP720914:UEP720921 UOL720914:UOL720921 UYH720914:UYH720921 VID720914:VID720921 VRZ720914:VRZ720921 WBV720914:WBV720921 WLR720914:WLR720921 WVN720914:WVN720921 F786450:F786457 JB786450:JB786457 SX786450:SX786457 ACT786450:ACT786457 AMP786450:AMP786457 AWL786450:AWL786457 BGH786450:BGH786457 BQD786450:BQD786457 BZZ786450:BZZ786457 CJV786450:CJV786457 CTR786450:CTR786457 DDN786450:DDN786457 DNJ786450:DNJ786457 DXF786450:DXF786457 EHB786450:EHB786457 EQX786450:EQX786457 FAT786450:FAT786457 FKP786450:FKP786457 FUL786450:FUL786457 GEH786450:GEH786457 GOD786450:GOD786457 GXZ786450:GXZ786457 HHV786450:HHV786457 HRR786450:HRR786457 IBN786450:IBN786457 ILJ786450:ILJ786457 IVF786450:IVF786457 JFB786450:JFB786457 JOX786450:JOX786457 JYT786450:JYT786457 KIP786450:KIP786457 KSL786450:KSL786457 LCH786450:LCH786457 LMD786450:LMD786457 LVZ786450:LVZ786457 MFV786450:MFV786457 MPR786450:MPR786457 MZN786450:MZN786457 NJJ786450:NJJ786457 NTF786450:NTF786457 ODB786450:ODB786457 OMX786450:OMX786457 OWT786450:OWT786457 PGP786450:PGP786457 PQL786450:PQL786457 QAH786450:QAH786457 QKD786450:QKD786457 QTZ786450:QTZ786457 RDV786450:RDV786457 RNR786450:RNR786457 RXN786450:RXN786457 SHJ786450:SHJ786457 SRF786450:SRF786457 TBB786450:TBB786457 TKX786450:TKX786457 TUT786450:TUT786457 UEP786450:UEP786457 UOL786450:UOL786457 UYH786450:UYH786457 VID786450:VID786457 VRZ786450:VRZ786457 WBV786450:WBV786457 WLR786450:WLR786457 WVN786450:WVN786457 F851986:F851993 JB851986:JB851993 SX851986:SX851993 ACT851986:ACT851993 AMP851986:AMP851993 AWL851986:AWL851993 BGH851986:BGH851993 BQD851986:BQD851993 BZZ851986:BZZ851993 CJV851986:CJV851993 CTR851986:CTR851993 DDN851986:DDN851993 DNJ851986:DNJ851993 DXF851986:DXF851993 EHB851986:EHB851993 EQX851986:EQX851993 FAT851986:FAT851993 FKP851986:FKP851993 FUL851986:FUL851993 GEH851986:GEH851993 GOD851986:GOD851993 GXZ851986:GXZ851993 HHV851986:HHV851993 HRR851986:HRR851993 IBN851986:IBN851993 ILJ851986:ILJ851993 IVF851986:IVF851993 JFB851986:JFB851993 JOX851986:JOX851993 JYT851986:JYT851993 KIP851986:KIP851993 KSL851986:KSL851993 LCH851986:LCH851993 LMD851986:LMD851993 LVZ851986:LVZ851993 MFV851986:MFV851993 MPR851986:MPR851993 MZN851986:MZN851993 NJJ851986:NJJ851993 NTF851986:NTF851993 ODB851986:ODB851993 OMX851986:OMX851993 OWT851986:OWT851993 PGP851986:PGP851993 PQL851986:PQL851993 QAH851986:QAH851993 QKD851986:QKD851993 QTZ851986:QTZ851993 RDV851986:RDV851993 RNR851986:RNR851993 RXN851986:RXN851993 SHJ851986:SHJ851993 SRF851986:SRF851993 TBB851986:TBB851993 TKX851986:TKX851993 TUT851986:TUT851993 UEP851986:UEP851993 UOL851986:UOL851993 UYH851986:UYH851993 VID851986:VID851993 VRZ851986:VRZ851993 WBV851986:WBV851993 WLR851986:WLR851993 WVN851986:WVN851993 F917522:F917529 JB917522:JB917529 SX917522:SX917529 ACT917522:ACT917529 AMP917522:AMP917529 AWL917522:AWL917529 BGH917522:BGH917529 BQD917522:BQD917529 BZZ917522:BZZ917529 CJV917522:CJV917529 CTR917522:CTR917529 DDN917522:DDN917529 DNJ917522:DNJ917529 DXF917522:DXF917529 EHB917522:EHB917529 EQX917522:EQX917529 FAT917522:FAT917529 FKP917522:FKP917529 FUL917522:FUL917529 GEH917522:GEH917529 GOD917522:GOD917529 GXZ917522:GXZ917529 HHV917522:HHV917529 HRR917522:HRR917529 IBN917522:IBN917529 ILJ917522:ILJ917529 IVF917522:IVF917529 JFB917522:JFB917529 JOX917522:JOX917529 JYT917522:JYT917529 KIP917522:KIP917529 KSL917522:KSL917529 LCH917522:LCH917529 LMD917522:LMD917529 LVZ917522:LVZ917529 MFV917522:MFV917529 MPR917522:MPR917529 MZN917522:MZN917529 NJJ917522:NJJ917529 NTF917522:NTF917529 ODB917522:ODB917529 OMX917522:OMX917529 OWT917522:OWT917529 PGP917522:PGP917529 PQL917522:PQL917529 QAH917522:QAH917529 QKD917522:QKD917529 QTZ917522:QTZ917529 RDV917522:RDV917529 RNR917522:RNR917529 RXN917522:RXN917529 SHJ917522:SHJ917529 SRF917522:SRF917529 TBB917522:TBB917529 TKX917522:TKX917529 TUT917522:TUT917529 UEP917522:UEP917529 UOL917522:UOL917529 UYH917522:UYH917529 VID917522:VID917529 VRZ917522:VRZ917529 WBV917522:WBV917529 WLR917522:WLR917529 WVN917522:WVN917529 F983058:F983065 JB983058:JB983065 SX983058:SX983065 ACT983058:ACT983065 AMP983058:AMP983065 AWL983058:AWL983065 BGH983058:BGH983065 BQD983058:BQD983065 BZZ983058:BZZ983065 CJV983058:CJV983065 CTR983058:CTR983065 DDN983058:DDN983065 DNJ983058:DNJ983065 DXF983058:DXF983065 EHB983058:EHB983065 EQX983058:EQX983065 FAT983058:FAT983065 FKP983058:FKP983065 FUL983058:FUL983065 GEH983058:GEH983065 GOD983058:GOD983065 GXZ983058:GXZ983065 HHV983058:HHV983065 HRR983058:HRR983065 IBN983058:IBN983065 ILJ983058:ILJ983065 IVF983058:IVF983065 JFB983058:JFB983065 JOX983058:JOX983065 JYT983058:JYT983065 KIP983058:KIP983065 KSL983058:KSL983065 LCH983058:LCH983065 LMD983058:LMD983065 LVZ983058:LVZ983065 MFV983058:MFV983065 MPR983058:MPR983065 MZN983058:MZN983065 NJJ983058:NJJ983065 NTF983058:NTF983065 ODB983058:ODB983065 OMX983058:OMX983065 OWT983058:OWT983065 PGP983058:PGP983065 PQL983058:PQL983065 QAH983058:QAH983065 QKD983058:QKD983065 QTZ983058:QTZ983065 RDV983058:RDV983065 RNR983058:RNR983065 RXN983058:RXN983065 SHJ983058:SHJ983065 SRF983058:SRF983065 TBB983058:TBB983065 TKX983058:TKX983065 TUT983058:TUT983065 UEP983058:UEP983065 UOL983058:UOL983065 UYH983058:UYH983065 VID983058:VID983065 VRZ983058:VRZ983065 WBV983058:WBV983065 WLR983058:WLR983065 WVN983058:WVN983065 F27 JB27 SX27 ACT27 AMP27 AWL27 BGH27 BQD27 BZZ27 CJV27 CTR27 DDN27 DNJ27 DXF27 EHB27 EQX27 FAT27 FKP27 FUL27 GEH27 GOD27 GXZ27 HHV27 HRR27 IBN27 ILJ27 IVF27 JFB27 JOX27 JYT27 KIP27 KSL27 LCH27 LMD27 LVZ27 MFV27 MPR27 MZN27 NJJ27 NTF27 ODB27 OMX27 OWT27 PGP27 PQL27 QAH27 QKD27 QTZ27 RDV27 RNR27 RXN27 SHJ27 SRF27 TBB27 TKX27 TUT27 UEP27 UOL27 UYH27 VID27 VRZ27 WBV27 WLR27 WVN27 F65563 JB65563 SX65563 ACT65563 AMP65563 AWL65563 BGH65563 BQD65563 BZZ65563 CJV65563 CTR65563 DDN65563 DNJ65563 DXF65563 EHB65563 EQX65563 FAT65563 FKP65563 FUL65563 GEH65563 GOD65563 GXZ65563 HHV65563 HRR65563 IBN65563 ILJ65563 IVF65563 JFB65563 JOX65563 JYT65563 KIP65563 KSL65563 LCH65563 LMD65563 LVZ65563 MFV65563 MPR65563 MZN65563 NJJ65563 NTF65563 ODB65563 OMX65563 OWT65563 PGP65563 PQL65563 QAH65563 QKD65563 QTZ65563 RDV65563 RNR65563 RXN65563 SHJ65563 SRF65563 TBB65563 TKX65563 TUT65563 UEP65563 UOL65563 UYH65563 VID65563 VRZ65563 WBV65563 WLR65563 WVN65563 F131099 JB131099 SX131099 ACT131099 AMP131099 AWL131099 BGH131099 BQD131099 BZZ131099 CJV131099 CTR131099 DDN131099 DNJ131099 DXF131099 EHB131099 EQX131099 FAT131099 FKP131099 FUL131099 GEH131099 GOD131099 GXZ131099 HHV131099 HRR131099 IBN131099 ILJ131099 IVF131099 JFB131099 JOX131099 JYT131099 KIP131099 KSL131099 LCH131099 LMD131099 LVZ131099 MFV131099 MPR131099 MZN131099 NJJ131099 NTF131099 ODB131099 OMX131099 OWT131099 PGP131099 PQL131099 QAH131099 QKD131099 QTZ131099 RDV131099 RNR131099 RXN131099 SHJ131099 SRF131099 TBB131099 TKX131099 TUT131099 UEP131099 UOL131099 UYH131099 VID131099 VRZ131099 WBV131099 WLR131099 WVN131099 F196635 JB196635 SX196635 ACT196635 AMP196635 AWL196635 BGH196635 BQD196635 BZZ196635 CJV196635 CTR196635 DDN196635 DNJ196635 DXF196635 EHB196635 EQX196635 FAT196635 FKP196635 FUL196635 GEH196635 GOD196635 GXZ196635 HHV196635 HRR196635 IBN196635 ILJ196635 IVF196635 JFB196635 JOX196635 JYT196635 KIP196635 KSL196635 LCH196635 LMD196635 LVZ196635 MFV196635 MPR196635 MZN196635 NJJ196635 NTF196635 ODB196635 OMX196635 OWT196635 PGP196635 PQL196635 QAH196635 QKD196635 QTZ196635 RDV196635 RNR196635 RXN196635 SHJ196635 SRF196635 TBB196635 TKX196635 TUT196635 UEP196635 UOL196635 UYH196635 VID196635 VRZ196635 WBV196635 WLR196635 WVN196635 F262171 JB262171 SX262171 ACT262171 AMP262171 AWL262171 BGH262171 BQD262171 BZZ262171 CJV262171 CTR262171 DDN262171 DNJ262171 DXF262171 EHB262171 EQX262171 FAT262171 FKP262171 FUL262171 GEH262171 GOD262171 GXZ262171 HHV262171 HRR262171 IBN262171 ILJ262171 IVF262171 JFB262171 JOX262171 JYT262171 KIP262171 KSL262171 LCH262171 LMD262171 LVZ262171 MFV262171 MPR262171 MZN262171 NJJ262171 NTF262171 ODB262171 OMX262171 OWT262171 PGP262171 PQL262171 QAH262171 QKD262171 QTZ262171 RDV262171 RNR262171 RXN262171 SHJ262171 SRF262171 TBB262171 TKX262171 TUT262171 UEP262171 UOL262171 UYH262171 VID262171 VRZ262171 WBV262171 WLR262171 WVN262171 F327707 JB327707 SX327707 ACT327707 AMP327707 AWL327707 BGH327707 BQD327707 BZZ327707 CJV327707 CTR327707 DDN327707 DNJ327707 DXF327707 EHB327707 EQX327707 FAT327707 FKP327707 FUL327707 GEH327707 GOD327707 GXZ327707 HHV327707 HRR327707 IBN327707 ILJ327707 IVF327707 JFB327707 JOX327707 JYT327707 KIP327707 KSL327707 LCH327707 LMD327707 LVZ327707 MFV327707 MPR327707 MZN327707 NJJ327707 NTF327707 ODB327707 OMX327707 OWT327707 PGP327707 PQL327707 QAH327707 QKD327707 QTZ327707 RDV327707 RNR327707 RXN327707 SHJ327707 SRF327707 TBB327707 TKX327707 TUT327707 UEP327707 UOL327707 UYH327707 VID327707 VRZ327707 WBV327707 WLR327707 WVN327707 F393243 JB393243 SX393243 ACT393243 AMP393243 AWL393243 BGH393243 BQD393243 BZZ393243 CJV393243 CTR393243 DDN393243 DNJ393243 DXF393243 EHB393243 EQX393243 FAT393243 FKP393243 FUL393243 GEH393243 GOD393243 GXZ393243 HHV393243 HRR393243 IBN393243 ILJ393243 IVF393243 JFB393243 JOX393243 JYT393243 KIP393243 KSL393243 LCH393243 LMD393243 LVZ393243 MFV393243 MPR393243 MZN393243 NJJ393243 NTF393243 ODB393243 OMX393243 OWT393243 PGP393243 PQL393243 QAH393243 QKD393243 QTZ393243 RDV393243 RNR393243 RXN393243 SHJ393243 SRF393243 TBB393243 TKX393243 TUT393243 UEP393243 UOL393243 UYH393243 VID393243 VRZ393243 WBV393243 WLR393243 WVN393243 F458779 JB458779 SX458779 ACT458779 AMP458779 AWL458779 BGH458779 BQD458779 BZZ458779 CJV458779 CTR458779 DDN458779 DNJ458779 DXF458779 EHB458779 EQX458779 FAT458779 FKP458779 FUL458779 GEH458779 GOD458779 GXZ458779 HHV458779 HRR458779 IBN458779 ILJ458779 IVF458779 JFB458779 JOX458779 JYT458779 KIP458779 KSL458779 LCH458779 LMD458779 LVZ458779 MFV458779 MPR458779 MZN458779 NJJ458779 NTF458779 ODB458779 OMX458779 OWT458779 PGP458779 PQL458779 QAH458779 QKD458779 QTZ458779 RDV458779 RNR458779 RXN458779 SHJ458779 SRF458779 TBB458779 TKX458779 TUT458779 UEP458779 UOL458779 UYH458779 VID458779 VRZ458779 WBV458779 WLR458779 WVN458779 F524315 JB524315 SX524315 ACT524315 AMP524315 AWL524315 BGH524315 BQD524315 BZZ524315 CJV524315 CTR524315 DDN524315 DNJ524315 DXF524315 EHB524315 EQX524315 FAT524315 FKP524315 FUL524315 GEH524315 GOD524315 GXZ524315 HHV524315 HRR524315 IBN524315 ILJ524315 IVF524315 JFB524315 JOX524315 JYT524315 KIP524315 KSL524315 LCH524315 LMD524315 LVZ524315 MFV524315 MPR524315 MZN524315 NJJ524315 NTF524315 ODB524315 OMX524315 OWT524315 PGP524315 PQL524315 QAH524315 QKD524315 QTZ524315 RDV524315 RNR524315 RXN524315 SHJ524315 SRF524315 TBB524315 TKX524315 TUT524315 UEP524315 UOL524315 UYH524315 VID524315 VRZ524315 WBV524315 WLR524315 WVN524315 F589851 JB589851 SX589851 ACT589851 AMP589851 AWL589851 BGH589851 BQD589851 BZZ589851 CJV589851 CTR589851 DDN589851 DNJ589851 DXF589851 EHB589851 EQX589851 FAT589851 FKP589851 FUL589851 GEH589851 GOD589851 GXZ589851 HHV589851 HRR589851 IBN589851 ILJ589851 IVF589851 JFB589851 JOX589851 JYT589851 KIP589851 KSL589851 LCH589851 LMD589851 LVZ589851 MFV589851 MPR589851 MZN589851 NJJ589851 NTF589851 ODB589851 OMX589851 OWT589851 PGP589851 PQL589851 QAH589851 QKD589851 QTZ589851 RDV589851 RNR589851 RXN589851 SHJ589851 SRF589851 TBB589851 TKX589851 TUT589851 UEP589851 UOL589851 UYH589851 VID589851 VRZ589851 WBV589851 WLR589851 WVN589851 F655387 JB655387 SX655387 ACT655387 AMP655387 AWL655387 BGH655387 BQD655387 BZZ655387 CJV655387 CTR655387 DDN655387 DNJ655387 DXF655387 EHB655387 EQX655387 FAT655387 FKP655387 FUL655387 GEH655387 GOD655387 GXZ655387 HHV655387 HRR655387 IBN655387 ILJ655387 IVF655387 JFB655387 JOX655387 JYT655387 KIP655387 KSL655387 LCH655387 LMD655387 LVZ655387 MFV655387 MPR655387 MZN655387 NJJ655387 NTF655387 ODB655387 OMX655387 OWT655387 PGP655387 PQL655387 QAH655387 QKD655387 QTZ655387 RDV655387 RNR655387 RXN655387 SHJ655387 SRF655387 TBB655387 TKX655387 TUT655387 UEP655387 UOL655387 UYH655387 VID655387 VRZ655387 WBV655387 WLR655387 WVN655387 F720923 JB720923 SX720923 ACT720923 AMP720923 AWL720923 BGH720923 BQD720923 BZZ720923 CJV720923 CTR720923 DDN720923 DNJ720923 DXF720923 EHB720923 EQX720923 FAT720923 FKP720923 FUL720923 GEH720923 GOD720923 GXZ720923 HHV720923 HRR720923 IBN720923 ILJ720923 IVF720923 JFB720923 JOX720923 JYT720923 KIP720923 KSL720923 LCH720923 LMD720923 LVZ720923 MFV720923 MPR720923 MZN720923 NJJ720923 NTF720923 ODB720923 OMX720923 OWT720923 PGP720923 PQL720923 QAH720923 QKD720923 QTZ720923 RDV720923 RNR720923 RXN720923 SHJ720923 SRF720923 TBB720923 TKX720923 TUT720923 UEP720923 UOL720923 UYH720923 VID720923 VRZ720923 WBV720923 WLR720923 WVN720923 F786459 JB786459 SX786459 ACT786459 AMP786459 AWL786459 BGH786459 BQD786459 BZZ786459 CJV786459 CTR786459 DDN786459 DNJ786459 DXF786459 EHB786459 EQX786459 FAT786459 FKP786459 FUL786459 GEH786459 GOD786459 GXZ786459 HHV786459 HRR786459 IBN786459 ILJ786459 IVF786459 JFB786459 JOX786459 JYT786459 KIP786459 KSL786459 LCH786459 LMD786459 LVZ786459 MFV786459 MPR786459 MZN786459 NJJ786459 NTF786459 ODB786459 OMX786459 OWT786459 PGP786459 PQL786459 QAH786459 QKD786459 QTZ786459 RDV786459 RNR786459 RXN786459 SHJ786459 SRF786459 TBB786459 TKX786459 TUT786459 UEP786459 UOL786459 UYH786459 VID786459 VRZ786459 WBV786459 WLR786459 WVN786459 F851995 JB851995 SX851995 ACT851995 AMP851995 AWL851995 BGH851995 BQD851995 BZZ851995 CJV851995 CTR851995 DDN851995 DNJ851995 DXF851995 EHB851995 EQX851995 FAT851995 FKP851995 FUL851995 GEH851995 GOD851995 GXZ851995 HHV851995 HRR851995 IBN851995 ILJ851995 IVF851995 JFB851995 JOX851995 JYT851995 KIP851995 KSL851995 LCH851995 LMD851995 LVZ851995 MFV851995 MPR851995 MZN851995 NJJ851995 NTF851995 ODB851995 OMX851995 OWT851995 PGP851995 PQL851995 QAH851995 QKD851995 QTZ851995 RDV851995 RNR851995 RXN851995 SHJ851995 SRF851995 TBB851995 TKX851995 TUT851995 UEP851995 UOL851995 UYH851995 VID851995 VRZ851995 WBV851995 WLR851995 WVN851995 F917531 JB917531 SX917531 ACT917531 AMP917531 AWL917531 BGH917531 BQD917531 BZZ917531 CJV917531 CTR917531 DDN917531 DNJ917531 DXF917531 EHB917531 EQX917531 FAT917531 FKP917531 FUL917531 GEH917531 GOD917531 GXZ917531 HHV917531 HRR917531 IBN917531 ILJ917531 IVF917531 JFB917531 JOX917531 JYT917531 KIP917531 KSL917531 LCH917531 LMD917531 LVZ917531 MFV917531 MPR917531 MZN917531 NJJ917531 NTF917531 ODB917531 OMX917531 OWT917531 PGP917531 PQL917531 QAH917531 QKD917531 QTZ917531 RDV917531 RNR917531 RXN917531 SHJ917531 SRF917531 TBB917531 TKX917531 TUT917531 UEP917531 UOL917531 UYH917531 VID917531 VRZ917531 WBV917531 WLR917531 WVN917531 F983067 JB983067 SX983067 ACT983067 AMP983067 AWL983067 BGH983067 BQD983067 BZZ983067 CJV983067 CTR983067 DDN983067 DNJ983067 DXF983067 EHB983067 EQX983067 FAT983067 FKP983067 FUL983067 GEH983067 GOD983067 GXZ983067 HHV983067 HRR983067 IBN983067 ILJ983067 IVF983067 JFB983067 JOX983067 JYT983067 KIP983067 KSL983067 LCH983067 LMD983067 LVZ983067 MFV983067 MPR983067 MZN983067 NJJ983067 NTF983067 ODB983067 OMX983067 OWT983067 PGP983067 PQL983067 QAH983067 QKD983067 QTZ983067 RDV983067 RNR983067 RXN983067 SHJ983067 SRF983067 TBB983067 TKX983067 TUT983067 UEP983067 UOL983067 UYH983067 VID983067 VRZ983067 WBV983067 WLR983067 WVN983067 F29 JB29 SX29 ACT29 AMP29 AWL29 BGH29 BQD29 BZZ29 CJV29 CTR29 DDN29 DNJ29 DXF29 EHB29 EQX29 FAT29 FKP29 FUL29 GEH29 GOD29 GXZ29 HHV29 HRR29 IBN29 ILJ29 IVF29 JFB29 JOX29 JYT29 KIP29 KSL29 LCH29 LMD29 LVZ29 MFV29 MPR29 MZN29 NJJ29 NTF29 ODB29 OMX29 OWT29 PGP29 PQL29 QAH29 QKD29 QTZ29 RDV29 RNR29 RXN29 SHJ29 SRF29 TBB29 TKX29 TUT29 UEP29 UOL29 UYH29 VID29 VRZ29 WBV29 WLR29 WVN29 F65565 JB65565 SX65565 ACT65565 AMP65565 AWL65565 BGH65565 BQD65565 BZZ65565 CJV65565 CTR65565 DDN65565 DNJ65565 DXF65565 EHB65565 EQX65565 FAT65565 FKP65565 FUL65565 GEH65565 GOD65565 GXZ65565 HHV65565 HRR65565 IBN65565 ILJ65565 IVF65565 JFB65565 JOX65565 JYT65565 KIP65565 KSL65565 LCH65565 LMD65565 LVZ65565 MFV65565 MPR65565 MZN65565 NJJ65565 NTF65565 ODB65565 OMX65565 OWT65565 PGP65565 PQL65565 QAH65565 QKD65565 QTZ65565 RDV65565 RNR65565 RXN65565 SHJ65565 SRF65565 TBB65565 TKX65565 TUT65565 UEP65565 UOL65565 UYH65565 VID65565 VRZ65565 WBV65565 WLR65565 WVN65565 F131101 JB131101 SX131101 ACT131101 AMP131101 AWL131101 BGH131101 BQD131101 BZZ131101 CJV131101 CTR131101 DDN131101 DNJ131101 DXF131101 EHB131101 EQX131101 FAT131101 FKP131101 FUL131101 GEH131101 GOD131101 GXZ131101 HHV131101 HRR131101 IBN131101 ILJ131101 IVF131101 JFB131101 JOX131101 JYT131101 KIP131101 KSL131101 LCH131101 LMD131101 LVZ131101 MFV131101 MPR131101 MZN131101 NJJ131101 NTF131101 ODB131101 OMX131101 OWT131101 PGP131101 PQL131101 QAH131101 QKD131101 QTZ131101 RDV131101 RNR131101 RXN131101 SHJ131101 SRF131101 TBB131101 TKX131101 TUT131101 UEP131101 UOL131101 UYH131101 VID131101 VRZ131101 WBV131101 WLR131101 WVN131101 F196637 JB196637 SX196637 ACT196637 AMP196637 AWL196637 BGH196637 BQD196637 BZZ196637 CJV196637 CTR196637 DDN196637 DNJ196637 DXF196637 EHB196637 EQX196637 FAT196637 FKP196637 FUL196637 GEH196637 GOD196637 GXZ196637 HHV196637 HRR196637 IBN196637 ILJ196637 IVF196637 JFB196637 JOX196637 JYT196637 KIP196637 KSL196637 LCH196637 LMD196637 LVZ196637 MFV196637 MPR196637 MZN196637 NJJ196637 NTF196637 ODB196637 OMX196637 OWT196637 PGP196637 PQL196637 QAH196637 QKD196637 QTZ196637 RDV196637 RNR196637 RXN196637 SHJ196637 SRF196637 TBB196637 TKX196637 TUT196637 UEP196637 UOL196637 UYH196637 VID196637 VRZ196637 WBV196637 WLR196637 WVN196637 F262173 JB262173 SX262173 ACT262173 AMP262173 AWL262173 BGH262173 BQD262173 BZZ262173 CJV262173 CTR262173 DDN262173 DNJ262173 DXF262173 EHB262173 EQX262173 FAT262173 FKP262173 FUL262173 GEH262173 GOD262173 GXZ262173 HHV262173 HRR262173 IBN262173 ILJ262173 IVF262173 JFB262173 JOX262173 JYT262173 KIP262173 KSL262173 LCH262173 LMD262173 LVZ262173 MFV262173 MPR262173 MZN262173 NJJ262173 NTF262173 ODB262173 OMX262173 OWT262173 PGP262173 PQL262173 QAH262173 QKD262173 QTZ262173 RDV262173 RNR262173 RXN262173 SHJ262173 SRF262173 TBB262173 TKX262173 TUT262173 UEP262173 UOL262173 UYH262173 VID262173 VRZ262173 WBV262173 WLR262173 WVN262173 F327709 JB327709 SX327709 ACT327709 AMP327709 AWL327709 BGH327709 BQD327709 BZZ327709 CJV327709 CTR327709 DDN327709 DNJ327709 DXF327709 EHB327709 EQX327709 FAT327709 FKP327709 FUL327709 GEH327709 GOD327709 GXZ327709 HHV327709 HRR327709 IBN327709 ILJ327709 IVF327709 JFB327709 JOX327709 JYT327709 KIP327709 KSL327709 LCH327709 LMD327709 LVZ327709 MFV327709 MPR327709 MZN327709 NJJ327709 NTF327709 ODB327709 OMX327709 OWT327709 PGP327709 PQL327709 QAH327709 QKD327709 QTZ327709 RDV327709 RNR327709 RXN327709 SHJ327709 SRF327709 TBB327709 TKX327709 TUT327709 UEP327709 UOL327709 UYH327709 VID327709 VRZ327709 WBV327709 WLR327709 WVN327709 F393245 JB393245 SX393245 ACT393245 AMP393245 AWL393245 BGH393245 BQD393245 BZZ393245 CJV393245 CTR393245 DDN393245 DNJ393245 DXF393245 EHB393245 EQX393245 FAT393245 FKP393245 FUL393245 GEH393245 GOD393245 GXZ393245 HHV393245 HRR393245 IBN393245 ILJ393245 IVF393245 JFB393245 JOX393245 JYT393245 KIP393245 KSL393245 LCH393245 LMD393245 LVZ393245 MFV393245 MPR393245 MZN393245 NJJ393245 NTF393245 ODB393245 OMX393245 OWT393245 PGP393245 PQL393245 QAH393245 QKD393245 QTZ393245 RDV393245 RNR393245 RXN393245 SHJ393245 SRF393245 TBB393245 TKX393245 TUT393245 UEP393245 UOL393245 UYH393245 VID393245 VRZ393245 WBV393245 WLR393245 WVN393245 F458781 JB458781 SX458781 ACT458781 AMP458781 AWL458781 BGH458781 BQD458781 BZZ458781 CJV458781 CTR458781 DDN458781 DNJ458781 DXF458781 EHB458781 EQX458781 FAT458781 FKP458781 FUL458781 GEH458781 GOD458781 GXZ458781 HHV458781 HRR458781 IBN458781 ILJ458781 IVF458781 JFB458781 JOX458781 JYT458781 KIP458781 KSL458781 LCH458781 LMD458781 LVZ458781 MFV458781 MPR458781 MZN458781 NJJ458781 NTF458781 ODB458781 OMX458781 OWT458781 PGP458781 PQL458781 QAH458781 QKD458781 QTZ458781 RDV458781 RNR458781 RXN458781 SHJ458781 SRF458781 TBB458781 TKX458781 TUT458781 UEP458781 UOL458781 UYH458781 VID458781 VRZ458781 WBV458781 WLR458781 WVN458781 F524317 JB524317 SX524317 ACT524317 AMP524317 AWL524317 BGH524317 BQD524317 BZZ524317 CJV524317 CTR524317 DDN524317 DNJ524317 DXF524317 EHB524317 EQX524317 FAT524317 FKP524317 FUL524317 GEH524317 GOD524317 GXZ524317 HHV524317 HRR524317 IBN524317 ILJ524317 IVF524317 JFB524317 JOX524317 JYT524317 KIP524317 KSL524317 LCH524317 LMD524317 LVZ524317 MFV524317 MPR524317 MZN524317 NJJ524317 NTF524317 ODB524317 OMX524317 OWT524317 PGP524317 PQL524317 QAH524317 QKD524317 QTZ524317 RDV524317 RNR524317 RXN524317 SHJ524317 SRF524317 TBB524317 TKX524317 TUT524317 UEP524317 UOL524317 UYH524317 VID524317 VRZ524317 WBV524317 WLR524317 WVN524317 F589853 JB589853 SX589853 ACT589853 AMP589853 AWL589853 BGH589853 BQD589853 BZZ589853 CJV589853 CTR589853 DDN589853 DNJ589853 DXF589853 EHB589853 EQX589853 FAT589853 FKP589853 FUL589853 GEH589853 GOD589853 GXZ589853 HHV589853 HRR589853 IBN589853 ILJ589853 IVF589853 JFB589853 JOX589853 JYT589853 KIP589853 KSL589853 LCH589853 LMD589853 LVZ589853 MFV589853 MPR589853 MZN589853 NJJ589853 NTF589853 ODB589853 OMX589853 OWT589853 PGP589853 PQL589853 QAH589853 QKD589853 QTZ589853 RDV589853 RNR589853 RXN589853 SHJ589853 SRF589853 TBB589853 TKX589853 TUT589853 UEP589853 UOL589853 UYH589853 VID589853 VRZ589853 WBV589853 WLR589853 WVN589853 F655389 JB655389 SX655389 ACT655389 AMP655389 AWL655389 BGH655389 BQD655389 BZZ655389 CJV655389 CTR655389 DDN655389 DNJ655389 DXF655389 EHB655389 EQX655389 FAT655389 FKP655389 FUL655389 GEH655389 GOD655389 GXZ655389 HHV655389 HRR655389 IBN655389 ILJ655389 IVF655389 JFB655389 JOX655389 JYT655389 KIP655389 KSL655389 LCH655389 LMD655389 LVZ655389 MFV655389 MPR655389 MZN655389 NJJ655389 NTF655389 ODB655389 OMX655389 OWT655389 PGP655389 PQL655389 QAH655389 QKD655389 QTZ655389 RDV655389 RNR655389 RXN655389 SHJ655389 SRF655389 TBB655389 TKX655389 TUT655389 UEP655389 UOL655389 UYH655389 VID655389 VRZ655389 WBV655389 WLR655389 WVN655389 F720925 JB720925 SX720925 ACT720925 AMP720925 AWL720925 BGH720925 BQD720925 BZZ720925 CJV720925 CTR720925 DDN720925 DNJ720925 DXF720925 EHB720925 EQX720925 FAT720925 FKP720925 FUL720925 GEH720925 GOD720925 GXZ720925 HHV720925 HRR720925 IBN720925 ILJ720925 IVF720925 JFB720925 JOX720925 JYT720925 KIP720925 KSL720925 LCH720925 LMD720925 LVZ720925 MFV720925 MPR720925 MZN720925 NJJ720925 NTF720925 ODB720925 OMX720925 OWT720925 PGP720925 PQL720925 QAH720925 QKD720925 QTZ720925 RDV720925 RNR720925 RXN720925 SHJ720925 SRF720925 TBB720925 TKX720925 TUT720925 UEP720925 UOL720925 UYH720925 VID720925 VRZ720925 WBV720925 WLR720925 WVN720925 F786461 JB786461 SX786461 ACT786461 AMP786461 AWL786461 BGH786461 BQD786461 BZZ786461 CJV786461 CTR786461 DDN786461 DNJ786461 DXF786461 EHB786461 EQX786461 FAT786461 FKP786461 FUL786461 GEH786461 GOD786461 GXZ786461 HHV786461 HRR786461 IBN786461 ILJ786461 IVF786461 JFB786461 JOX786461 JYT786461 KIP786461 KSL786461 LCH786461 LMD786461 LVZ786461 MFV786461 MPR786461 MZN786461 NJJ786461 NTF786461 ODB786461 OMX786461 OWT786461 PGP786461 PQL786461 QAH786461 QKD786461 QTZ786461 RDV786461 RNR786461 RXN786461 SHJ786461 SRF786461 TBB786461 TKX786461 TUT786461 UEP786461 UOL786461 UYH786461 VID786461 VRZ786461 WBV786461 WLR786461 WVN786461 F851997 JB851997 SX851997 ACT851997 AMP851997 AWL851997 BGH851997 BQD851997 BZZ851997 CJV851997 CTR851997 DDN851997 DNJ851997 DXF851997 EHB851997 EQX851997 FAT851997 FKP851997 FUL851997 GEH851997 GOD851997 GXZ851997 HHV851997 HRR851997 IBN851997 ILJ851997 IVF851997 JFB851997 JOX851997 JYT851997 KIP851997 KSL851997 LCH851997 LMD851997 LVZ851997 MFV851997 MPR851997 MZN851997 NJJ851997 NTF851997 ODB851997 OMX851997 OWT851997 PGP851997 PQL851997 QAH851997 QKD851997 QTZ851997 RDV851997 RNR851997 RXN851997 SHJ851997 SRF851997 TBB851997 TKX851997 TUT851997 UEP851997 UOL851997 UYH851997 VID851997 VRZ851997 WBV851997 WLR851997 WVN851997 F917533 JB917533 SX917533 ACT917533 AMP917533 AWL917533 BGH917533 BQD917533 BZZ917533 CJV917533 CTR917533 DDN917533 DNJ917533 DXF917533 EHB917533 EQX917533 FAT917533 FKP917533 FUL917533 GEH917533 GOD917533 GXZ917533 HHV917533 HRR917533 IBN917533 ILJ917533 IVF917533 JFB917533 JOX917533 JYT917533 KIP917533 KSL917533 LCH917533 LMD917533 LVZ917533 MFV917533 MPR917533 MZN917533 NJJ917533 NTF917533 ODB917533 OMX917533 OWT917533 PGP917533 PQL917533 QAH917533 QKD917533 QTZ917533 RDV917533 RNR917533 RXN917533 SHJ917533 SRF917533 TBB917533 TKX917533 TUT917533 UEP917533 UOL917533 UYH917533 VID917533 VRZ917533 WBV917533 WLR917533 WVN917533 F983069 JB983069 SX983069 ACT983069 AMP983069 AWL983069 BGH983069 BQD983069 BZZ983069 CJV983069 CTR983069 DDN983069 DNJ983069 DXF983069 EHB983069 EQX983069 FAT983069 FKP983069 FUL983069 GEH983069 GOD983069 GXZ983069 HHV983069 HRR983069 IBN983069 ILJ983069 IVF983069 JFB983069 JOX983069 JYT983069 KIP983069 KSL983069 LCH983069 LMD983069 LVZ983069 MFV983069 MPR983069 MZN983069 NJJ983069 NTF983069 ODB983069 OMX983069 OWT983069 PGP983069 PQL983069 QAH983069 QKD983069 QTZ983069 RDV983069 RNR983069 RXN983069 SHJ983069 SRF983069 TBB983069 TKX983069 TUT983069 UEP983069 UOL983069 UYH983069 VID983069 VRZ983069 WBV983069 WLR983069 WVN983069 F31 JB31 SX31 ACT31 AMP31 AWL31 BGH31 BQD31 BZZ31 CJV31 CTR31 DDN31 DNJ31 DXF31 EHB31 EQX31 FAT31 FKP31 FUL31 GEH31 GOD31 GXZ31 HHV31 HRR31 IBN31 ILJ31 IVF31 JFB31 JOX31 JYT31 KIP31 KSL31 LCH31 LMD31 LVZ31 MFV31 MPR31 MZN31 NJJ31 NTF31 ODB31 OMX31 OWT31 PGP31 PQL31 QAH31 QKD31 QTZ31 RDV31 RNR31 RXN31 SHJ31 SRF31 TBB31 TKX31 TUT31 UEP31 UOL31 UYH31 VID31 VRZ31 WBV31 WLR31 WVN31 F65567 JB65567 SX65567 ACT65567 AMP65567 AWL65567 BGH65567 BQD65567 BZZ65567 CJV65567 CTR65567 DDN65567 DNJ65567 DXF65567 EHB65567 EQX65567 FAT65567 FKP65567 FUL65567 GEH65567 GOD65567 GXZ65567 HHV65567 HRR65567 IBN65567 ILJ65567 IVF65567 JFB65567 JOX65567 JYT65567 KIP65567 KSL65567 LCH65567 LMD65567 LVZ65567 MFV65567 MPR65567 MZN65567 NJJ65567 NTF65567 ODB65567 OMX65567 OWT65567 PGP65567 PQL65567 QAH65567 QKD65567 QTZ65567 RDV65567 RNR65567 RXN65567 SHJ65567 SRF65567 TBB65567 TKX65567 TUT65567 UEP65567 UOL65567 UYH65567 VID65567 VRZ65567 WBV65567 WLR65567 WVN65567 F131103 JB131103 SX131103 ACT131103 AMP131103 AWL131103 BGH131103 BQD131103 BZZ131103 CJV131103 CTR131103 DDN131103 DNJ131103 DXF131103 EHB131103 EQX131103 FAT131103 FKP131103 FUL131103 GEH131103 GOD131103 GXZ131103 HHV131103 HRR131103 IBN131103 ILJ131103 IVF131103 JFB131103 JOX131103 JYT131103 KIP131103 KSL131103 LCH131103 LMD131103 LVZ131103 MFV131103 MPR131103 MZN131103 NJJ131103 NTF131103 ODB131103 OMX131103 OWT131103 PGP131103 PQL131103 QAH131103 QKD131103 QTZ131103 RDV131103 RNR131103 RXN131103 SHJ131103 SRF131103 TBB131103 TKX131103 TUT131103 UEP131103 UOL131103 UYH131103 VID131103 VRZ131103 WBV131103 WLR131103 WVN131103 F196639 JB196639 SX196639 ACT196639 AMP196639 AWL196639 BGH196639 BQD196639 BZZ196639 CJV196639 CTR196639 DDN196639 DNJ196639 DXF196639 EHB196639 EQX196639 FAT196639 FKP196639 FUL196639 GEH196639 GOD196639 GXZ196639 HHV196639 HRR196639 IBN196639 ILJ196639 IVF196639 JFB196639 JOX196639 JYT196639 KIP196639 KSL196639 LCH196639 LMD196639 LVZ196639 MFV196639 MPR196639 MZN196639 NJJ196639 NTF196639 ODB196639 OMX196639 OWT196639 PGP196639 PQL196639 QAH196639 QKD196639 QTZ196639 RDV196639 RNR196639 RXN196639 SHJ196639 SRF196639 TBB196639 TKX196639 TUT196639 UEP196639 UOL196639 UYH196639 VID196639 VRZ196639 WBV196639 WLR196639 WVN196639 F262175 JB262175 SX262175 ACT262175 AMP262175 AWL262175 BGH262175 BQD262175 BZZ262175 CJV262175 CTR262175 DDN262175 DNJ262175 DXF262175 EHB262175 EQX262175 FAT262175 FKP262175 FUL262175 GEH262175 GOD262175 GXZ262175 HHV262175 HRR262175 IBN262175 ILJ262175 IVF262175 JFB262175 JOX262175 JYT262175 KIP262175 KSL262175 LCH262175 LMD262175 LVZ262175 MFV262175 MPR262175 MZN262175 NJJ262175 NTF262175 ODB262175 OMX262175 OWT262175 PGP262175 PQL262175 QAH262175 QKD262175 QTZ262175 RDV262175 RNR262175 RXN262175 SHJ262175 SRF262175 TBB262175 TKX262175 TUT262175 UEP262175 UOL262175 UYH262175 VID262175 VRZ262175 WBV262175 WLR262175 WVN262175 F327711 JB327711 SX327711 ACT327711 AMP327711 AWL327711 BGH327711 BQD327711 BZZ327711 CJV327711 CTR327711 DDN327711 DNJ327711 DXF327711 EHB327711 EQX327711 FAT327711 FKP327711 FUL327711 GEH327711 GOD327711 GXZ327711 HHV327711 HRR327711 IBN327711 ILJ327711 IVF327711 JFB327711 JOX327711 JYT327711 KIP327711 KSL327711 LCH327711 LMD327711 LVZ327711 MFV327711 MPR327711 MZN327711 NJJ327711 NTF327711 ODB327711 OMX327711 OWT327711 PGP327711 PQL327711 QAH327711 QKD327711 QTZ327711 RDV327711 RNR327711 RXN327711 SHJ327711 SRF327711 TBB327711 TKX327711 TUT327711 UEP327711 UOL327711 UYH327711 VID327711 VRZ327711 WBV327711 WLR327711 WVN327711 F393247 JB393247 SX393247 ACT393247 AMP393247 AWL393247 BGH393247 BQD393247 BZZ393247 CJV393247 CTR393247 DDN393247 DNJ393247 DXF393247 EHB393247 EQX393247 FAT393247 FKP393247 FUL393247 GEH393247 GOD393247 GXZ393247 HHV393247 HRR393247 IBN393247 ILJ393247 IVF393247 JFB393247 JOX393247 JYT393247 KIP393247 KSL393247 LCH393247 LMD393247 LVZ393247 MFV393247 MPR393247 MZN393247 NJJ393247 NTF393247 ODB393247 OMX393247 OWT393247 PGP393247 PQL393247 QAH393247 QKD393247 QTZ393247 RDV393247 RNR393247 RXN393247 SHJ393247 SRF393247 TBB393247 TKX393247 TUT393247 UEP393247 UOL393247 UYH393247 VID393247 VRZ393247 WBV393247 WLR393247 WVN393247 F458783 JB458783 SX458783 ACT458783 AMP458783 AWL458783 BGH458783 BQD458783 BZZ458783 CJV458783 CTR458783 DDN458783 DNJ458783 DXF458783 EHB458783 EQX458783 FAT458783 FKP458783 FUL458783 GEH458783 GOD458783 GXZ458783 HHV458783 HRR458783 IBN458783 ILJ458783 IVF458783 JFB458783 JOX458783 JYT458783 KIP458783 KSL458783 LCH458783 LMD458783 LVZ458783 MFV458783 MPR458783 MZN458783 NJJ458783 NTF458783 ODB458783 OMX458783 OWT458783 PGP458783 PQL458783 QAH458783 QKD458783 QTZ458783 RDV458783 RNR458783 RXN458783 SHJ458783 SRF458783 TBB458783 TKX458783 TUT458783 UEP458783 UOL458783 UYH458783 VID458783 VRZ458783 WBV458783 WLR458783 WVN458783 F524319 JB524319 SX524319 ACT524319 AMP524319 AWL524319 BGH524319 BQD524319 BZZ524319 CJV524319 CTR524319 DDN524319 DNJ524319 DXF524319 EHB524319 EQX524319 FAT524319 FKP524319 FUL524319 GEH524319 GOD524319 GXZ524319 HHV524319 HRR524319 IBN524319 ILJ524319 IVF524319 JFB524319 JOX524319 JYT524319 KIP524319 KSL524319 LCH524319 LMD524319 LVZ524319 MFV524319 MPR524319 MZN524319 NJJ524319 NTF524319 ODB524319 OMX524319 OWT524319 PGP524319 PQL524319 QAH524319 QKD524319 QTZ524319 RDV524319 RNR524319 RXN524319 SHJ524319 SRF524319 TBB524319 TKX524319 TUT524319 UEP524319 UOL524319 UYH524319 VID524319 VRZ524319 WBV524319 WLR524319 WVN524319 F589855 JB589855 SX589855 ACT589855 AMP589855 AWL589855 BGH589855 BQD589855 BZZ589855 CJV589855 CTR589855 DDN589855 DNJ589855 DXF589855 EHB589855 EQX589855 FAT589855 FKP589855 FUL589855 GEH589855 GOD589855 GXZ589855 HHV589855 HRR589855 IBN589855 ILJ589855 IVF589855 JFB589855 JOX589855 JYT589855 KIP589855 KSL589855 LCH589855 LMD589855 LVZ589855 MFV589855 MPR589855 MZN589855 NJJ589855 NTF589855 ODB589855 OMX589855 OWT589855 PGP589855 PQL589855 QAH589855 QKD589855 QTZ589855 RDV589855 RNR589855 RXN589855 SHJ589855 SRF589855 TBB589855 TKX589855 TUT589855 UEP589855 UOL589855 UYH589855 VID589855 VRZ589855 WBV589855 WLR589855 WVN589855 F655391 JB655391 SX655391 ACT655391 AMP655391 AWL655391 BGH655391 BQD655391 BZZ655391 CJV655391 CTR655391 DDN655391 DNJ655391 DXF655391 EHB655391 EQX655391 FAT655391 FKP655391 FUL655391 GEH655391 GOD655391 GXZ655391 HHV655391 HRR655391 IBN655391 ILJ655391 IVF655391 JFB655391 JOX655391 JYT655391 KIP655391 KSL655391 LCH655391 LMD655391 LVZ655391 MFV655391 MPR655391 MZN655391 NJJ655391 NTF655391 ODB655391 OMX655391 OWT655391 PGP655391 PQL655391 QAH655391 QKD655391 QTZ655391 RDV655391 RNR655391 RXN655391 SHJ655391 SRF655391 TBB655391 TKX655391 TUT655391 UEP655391 UOL655391 UYH655391 VID655391 VRZ655391 WBV655391 WLR655391 WVN655391 F720927 JB720927 SX720927 ACT720927 AMP720927 AWL720927 BGH720927 BQD720927 BZZ720927 CJV720927 CTR720927 DDN720927 DNJ720927 DXF720927 EHB720927 EQX720927 FAT720927 FKP720927 FUL720927 GEH720927 GOD720927 GXZ720927 HHV720927 HRR720927 IBN720927 ILJ720927 IVF720927 JFB720927 JOX720927 JYT720927 KIP720927 KSL720927 LCH720927 LMD720927 LVZ720927 MFV720927 MPR720927 MZN720927 NJJ720927 NTF720927 ODB720927 OMX720927 OWT720927 PGP720927 PQL720927 QAH720927 QKD720927 QTZ720927 RDV720927 RNR720927 RXN720927 SHJ720927 SRF720927 TBB720927 TKX720927 TUT720927 UEP720927 UOL720927 UYH720927 VID720927 VRZ720927 WBV720927 WLR720927 WVN720927 F786463 JB786463 SX786463 ACT786463 AMP786463 AWL786463 BGH786463 BQD786463 BZZ786463 CJV786463 CTR786463 DDN786463 DNJ786463 DXF786463 EHB786463 EQX786463 FAT786463 FKP786463 FUL786463 GEH786463 GOD786463 GXZ786463 HHV786463 HRR786463 IBN786463 ILJ786463 IVF786463 JFB786463 JOX786463 JYT786463 KIP786463 KSL786463 LCH786463 LMD786463 LVZ786463 MFV786463 MPR786463 MZN786463 NJJ786463 NTF786463 ODB786463 OMX786463 OWT786463 PGP786463 PQL786463 QAH786463 QKD786463 QTZ786463 RDV786463 RNR786463 RXN786463 SHJ786463 SRF786463 TBB786463 TKX786463 TUT786463 UEP786463 UOL786463 UYH786463 VID786463 VRZ786463 WBV786463 WLR786463 WVN786463 F851999 JB851999 SX851999 ACT851999 AMP851999 AWL851999 BGH851999 BQD851999 BZZ851999 CJV851999 CTR851999 DDN851999 DNJ851999 DXF851999 EHB851999 EQX851999 FAT851999 FKP851999 FUL851999 GEH851999 GOD851999 GXZ851999 HHV851999 HRR851999 IBN851999 ILJ851999 IVF851999 JFB851999 JOX851999 JYT851999 KIP851999 KSL851999 LCH851999 LMD851999 LVZ851999 MFV851999 MPR851999 MZN851999 NJJ851999 NTF851999 ODB851999 OMX851999 OWT851999 PGP851999 PQL851999 QAH851999 QKD851999 QTZ851999 RDV851999 RNR851999 RXN851999 SHJ851999 SRF851999 TBB851999 TKX851999 TUT851999 UEP851999 UOL851999 UYH851999 VID851999 VRZ851999 WBV851999 WLR851999 WVN851999 F917535 JB917535 SX917535 ACT917535 AMP917535 AWL917535 BGH917535 BQD917535 BZZ917535 CJV917535 CTR917535 DDN917535 DNJ917535 DXF917535 EHB917535 EQX917535 FAT917535 FKP917535 FUL917535 GEH917535 GOD917535 GXZ917535 HHV917535 HRR917535 IBN917535 ILJ917535 IVF917535 JFB917535 JOX917535 JYT917535 KIP917535 KSL917535 LCH917535 LMD917535 LVZ917535 MFV917535 MPR917535 MZN917535 NJJ917535 NTF917535 ODB917535 OMX917535 OWT917535 PGP917535 PQL917535 QAH917535 QKD917535 QTZ917535 RDV917535 RNR917535 RXN917535 SHJ917535 SRF917535 TBB917535 TKX917535 TUT917535 UEP917535 UOL917535 UYH917535 VID917535 VRZ917535 WBV917535 WLR917535 WVN917535 F983071 JB983071 SX983071 ACT983071 AMP983071 AWL983071 BGH983071 BQD983071 BZZ983071 CJV983071 CTR983071 DDN983071 DNJ983071 DXF983071 EHB983071 EQX983071 FAT983071 FKP983071 FUL983071 GEH983071 GOD983071 GXZ983071 HHV983071 HRR983071 IBN983071 ILJ983071 IVF983071 JFB983071 JOX983071 JYT983071 KIP983071 KSL983071 LCH983071 LMD983071 LVZ983071 MFV983071 MPR983071 MZN983071 NJJ983071 NTF983071 ODB983071 OMX983071 OWT983071 PGP983071 PQL983071 QAH983071 QKD983071 QTZ983071 RDV983071 RNR983071 RXN983071 SHJ983071 SRF983071 TBB983071 TKX983071 TUT983071 UEP983071 UOL983071 UYH983071 VID983071 VRZ983071 WBV983071 WLR983071 WVN983071 F33 JB33 SX33 ACT33 AMP33 AWL33 BGH33 BQD33 BZZ33 CJV33 CTR33 DDN33 DNJ33 DXF33 EHB33 EQX33 FAT33 FKP33 FUL33 GEH33 GOD33 GXZ33 HHV33 HRR33 IBN33 ILJ33 IVF33 JFB33 JOX33 JYT33 KIP33 KSL33 LCH33 LMD33 LVZ33 MFV33 MPR33 MZN33 NJJ33 NTF33 ODB33 OMX33 OWT33 PGP33 PQL33 QAH33 QKD33 QTZ33 RDV33 RNR33 RXN33 SHJ33 SRF33 TBB33 TKX33 TUT33 UEP33 UOL33 UYH33 VID33 VRZ33 WBV33 WLR33 WVN33 F65569 JB65569 SX65569 ACT65569 AMP65569 AWL65569 BGH65569 BQD65569 BZZ65569 CJV65569 CTR65569 DDN65569 DNJ65569 DXF65569 EHB65569 EQX65569 FAT65569 FKP65569 FUL65569 GEH65569 GOD65569 GXZ65569 HHV65569 HRR65569 IBN65569 ILJ65569 IVF65569 JFB65569 JOX65569 JYT65569 KIP65569 KSL65569 LCH65569 LMD65569 LVZ65569 MFV65569 MPR65569 MZN65569 NJJ65569 NTF65569 ODB65569 OMX65569 OWT65569 PGP65569 PQL65569 QAH65569 QKD65569 QTZ65569 RDV65569 RNR65569 RXN65569 SHJ65569 SRF65569 TBB65569 TKX65569 TUT65569 UEP65569 UOL65569 UYH65569 VID65569 VRZ65569 WBV65569 WLR65569 WVN65569 F131105 JB131105 SX131105 ACT131105 AMP131105 AWL131105 BGH131105 BQD131105 BZZ131105 CJV131105 CTR131105 DDN131105 DNJ131105 DXF131105 EHB131105 EQX131105 FAT131105 FKP131105 FUL131105 GEH131105 GOD131105 GXZ131105 HHV131105 HRR131105 IBN131105 ILJ131105 IVF131105 JFB131105 JOX131105 JYT131105 KIP131105 KSL131105 LCH131105 LMD131105 LVZ131105 MFV131105 MPR131105 MZN131105 NJJ131105 NTF131105 ODB131105 OMX131105 OWT131105 PGP131105 PQL131105 QAH131105 QKD131105 QTZ131105 RDV131105 RNR131105 RXN131105 SHJ131105 SRF131105 TBB131105 TKX131105 TUT131105 UEP131105 UOL131105 UYH131105 VID131105 VRZ131105 WBV131105 WLR131105 WVN131105 F196641 JB196641 SX196641 ACT196641 AMP196641 AWL196641 BGH196641 BQD196641 BZZ196641 CJV196641 CTR196641 DDN196641 DNJ196641 DXF196641 EHB196641 EQX196641 FAT196641 FKP196641 FUL196641 GEH196641 GOD196641 GXZ196641 HHV196641 HRR196641 IBN196641 ILJ196641 IVF196641 JFB196641 JOX196641 JYT196641 KIP196641 KSL196641 LCH196641 LMD196641 LVZ196641 MFV196641 MPR196641 MZN196641 NJJ196641 NTF196641 ODB196641 OMX196641 OWT196641 PGP196641 PQL196641 QAH196641 QKD196641 QTZ196641 RDV196641 RNR196641 RXN196641 SHJ196641 SRF196641 TBB196641 TKX196641 TUT196641 UEP196641 UOL196641 UYH196641 VID196641 VRZ196641 WBV196641 WLR196641 WVN196641 F262177 JB262177 SX262177 ACT262177 AMP262177 AWL262177 BGH262177 BQD262177 BZZ262177 CJV262177 CTR262177 DDN262177 DNJ262177 DXF262177 EHB262177 EQX262177 FAT262177 FKP262177 FUL262177 GEH262177 GOD262177 GXZ262177 HHV262177 HRR262177 IBN262177 ILJ262177 IVF262177 JFB262177 JOX262177 JYT262177 KIP262177 KSL262177 LCH262177 LMD262177 LVZ262177 MFV262177 MPR262177 MZN262177 NJJ262177 NTF262177 ODB262177 OMX262177 OWT262177 PGP262177 PQL262177 QAH262177 QKD262177 QTZ262177 RDV262177 RNR262177 RXN262177 SHJ262177 SRF262177 TBB262177 TKX262177 TUT262177 UEP262177 UOL262177 UYH262177 VID262177 VRZ262177 WBV262177 WLR262177 WVN262177 F327713 JB327713 SX327713 ACT327713 AMP327713 AWL327713 BGH327713 BQD327713 BZZ327713 CJV327713 CTR327713 DDN327713 DNJ327713 DXF327713 EHB327713 EQX327713 FAT327713 FKP327713 FUL327713 GEH327713 GOD327713 GXZ327713 HHV327713 HRR327713 IBN327713 ILJ327713 IVF327713 JFB327713 JOX327713 JYT327713 KIP327713 KSL327713 LCH327713 LMD327713 LVZ327713 MFV327713 MPR327713 MZN327713 NJJ327713 NTF327713 ODB327713 OMX327713 OWT327713 PGP327713 PQL327713 QAH327713 QKD327713 QTZ327713 RDV327713 RNR327713 RXN327713 SHJ327713 SRF327713 TBB327713 TKX327713 TUT327713 UEP327713 UOL327713 UYH327713 VID327713 VRZ327713 WBV327713 WLR327713 WVN327713 F393249 JB393249 SX393249 ACT393249 AMP393249 AWL393249 BGH393249 BQD393249 BZZ393249 CJV393249 CTR393249 DDN393249 DNJ393249 DXF393249 EHB393249 EQX393249 FAT393249 FKP393249 FUL393249 GEH393249 GOD393249 GXZ393249 HHV393249 HRR393249 IBN393249 ILJ393249 IVF393249 JFB393249 JOX393249 JYT393249 KIP393249 KSL393249 LCH393249 LMD393249 LVZ393249 MFV393249 MPR393249 MZN393249 NJJ393249 NTF393249 ODB393249 OMX393249 OWT393249 PGP393249 PQL393249 QAH393249 QKD393249 QTZ393249 RDV393249 RNR393249 RXN393249 SHJ393249 SRF393249 TBB393249 TKX393249 TUT393249 UEP393249 UOL393249 UYH393249 VID393249 VRZ393249 WBV393249 WLR393249 WVN393249 F458785 JB458785 SX458785 ACT458785 AMP458785 AWL458785 BGH458785 BQD458785 BZZ458785 CJV458785 CTR458785 DDN458785 DNJ458785 DXF458785 EHB458785 EQX458785 FAT458785 FKP458785 FUL458785 GEH458785 GOD458785 GXZ458785 HHV458785 HRR458785 IBN458785 ILJ458785 IVF458785 JFB458785 JOX458785 JYT458785 KIP458785 KSL458785 LCH458785 LMD458785 LVZ458785 MFV458785 MPR458785 MZN458785 NJJ458785 NTF458785 ODB458785 OMX458785 OWT458785 PGP458785 PQL458785 QAH458785 QKD458785 QTZ458785 RDV458785 RNR458785 RXN458785 SHJ458785 SRF458785 TBB458785 TKX458785 TUT458785 UEP458785 UOL458785 UYH458785 VID458785 VRZ458785 WBV458785 WLR458785 WVN458785 F524321 JB524321 SX524321 ACT524321 AMP524321 AWL524321 BGH524321 BQD524321 BZZ524321 CJV524321 CTR524321 DDN524321 DNJ524321 DXF524321 EHB524321 EQX524321 FAT524321 FKP524321 FUL524321 GEH524321 GOD524321 GXZ524321 HHV524321 HRR524321 IBN524321 ILJ524321 IVF524321 JFB524321 JOX524321 JYT524321 KIP524321 KSL524321 LCH524321 LMD524321 LVZ524321 MFV524321 MPR524321 MZN524321 NJJ524321 NTF524321 ODB524321 OMX524321 OWT524321 PGP524321 PQL524321 QAH524321 QKD524321 QTZ524321 RDV524321 RNR524321 RXN524321 SHJ524321 SRF524321 TBB524321 TKX524321 TUT524321 UEP524321 UOL524321 UYH524321 VID524321 VRZ524321 WBV524321 WLR524321 WVN524321 F589857 JB589857 SX589857 ACT589857 AMP589857 AWL589857 BGH589857 BQD589857 BZZ589857 CJV589857 CTR589857 DDN589857 DNJ589857 DXF589857 EHB589857 EQX589857 FAT589857 FKP589857 FUL589857 GEH589857 GOD589857 GXZ589857 HHV589857 HRR589857 IBN589857 ILJ589857 IVF589857 JFB589857 JOX589857 JYT589857 KIP589857 KSL589857 LCH589857 LMD589857 LVZ589857 MFV589857 MPR589857 MZN589857 NJJ589857 NTF589857 ODB589857 OMX589857 OWT589857 PGP589857 PQL589857 QAH589857 QKD589857 QTZ589857 RDV589857 RNR589857 RXN589857 SHJ589857 SRF589857 TBB589857 TKX589857 TUT589857 UEP589857 UOL589857 UYH589857 VID589857 VRZ589857 WBV589857 WLR589857 WVN589857 F655393 JB655393 SX655393 ACT655393 AMP655393 AWL655393 BGH655393 BQD655393 BZZ655393 CJV655393 CTR655393 DDN655393 DNJ655393 DXF655393 EHB655393 EQX655393 FAT655393 FKP655393 FUL655393 GEH655393 GOD655393 GXZ655393 HHV655393 HRR655393 IBN655393 ILJ655393 IVF655393 JFB655393 JOX655393 JYT655393 KIP655393 KSL655393 LCH655393 LMD655393 LVZ655393 MFV655393 MPR655393 MZN655393 NJJ655393 NTF655393 ODB655393 OMX655393 OWT655393 PGP655393 PQL655393 QAH655393 QKD655393 QTZ655393 RDV655393 RNR655393 RXN655393 SHJ655393 SRF655393 TBB655393 TKX655393 TUT655393 UEP655393 UOL655393 UYH655393 VID655393 VRZ655393 WBV655393 WLR655393 WVN655393 F720929 JB720929 SX720929 ACT720929 AMP720929 AWL720929 BGH720929 BQD720929 BZZ720929 CJV720929 CTR720929 DDN720929 DNJ720929 DXF720929 EHB720929 EQX720929 FAT720929 FKP720929 FUL720929 GEH720929 GOD720929 GXZ720929 HHV720929 HRR720929 IBN720929 ILJ720929 IVF720929 JFB720929 JOX720929 JYT720929 KIP720929 KSL720929 LCH720929 LMD720929 LVZ720929 MFV720929 MPR720929 MZN720929 NJJ720929 NTF720929 ODB720929 OMX720929 OWT720929 PGP720929 PQL720929 QAH720929 QKD720929 QTZ720929 RDV720929 RNR720929 RXN720929 SHJ720929 SRF720929 TBB720929 TKX720929 TUT720929 UEP720929 UOL720929 UYH720929 VID720929 VRZ720929 WBV720929 WLR720929 WVN720929 F786465 JB786465 SX786465 ACT786465 AMP786465 AWL786465 BGH786465 BQD786465 BZZ786465 CJV786465 CTR786465 DDN786465 DNJ786465 DXF786465 EHB786465 EQX786465 FAT786465 FKP786465 FUL786465 GEH786465 GOD786465 GXZ786465 HHV786465 HRR786465 IBN786465 ILJ786465 IVF786465 JFB786465 JOX786465 JYT786465 KIP786465 KSL786465 LCH786465 LMD786465 LVZ786465 MFV786465 MPR786465 MZN786465 NJJ786465 NTF786465 ODB786465 OMX786465 OWT786465 PGP786465 PQL786465 QAH786465 QKD786465 QTZ786465 RDV786465 RNR786465 RXN786465 SHJ786465 SRF786465 TBB786465 TKX786465 TUT786465 UEP786465 UOL786465 UYH786465 VID786465 VRZ786465 WBV786465 WLR786465 WVN786465 F852001 JB852001 SX852001 ACT852001 AMP852001 AWL852001 BGH852001 BQD852001 BZZ852001 CJV852001 CTR852001 DDN852001 DNJ852001 DXF852001 EHB852001 EQX852001 FAT852001 FKP852001 FUL852001 GEH852001 GOD852001 GXZ852001 HHV852001 HRR852001 IBN852001 ILJ852001 IVF852001 JFB852001 JOX852001 JYT852001 KIP852001 KSL852001 LCH852001 LMD852001 LVZ852001 MFV852001 MPR852001 MZN852001 NJJ852001 NTF852001 ODB852001 OMX852001 OWT852001 PGP852001 PQL852001 QAH852001 QKD852001 QTZ852001 RDV852001 RNR852001 RXN852001 SHJ852001 SRF852001 TBB852001 TKX852001 TUT852001 UEP852001 UOL852001 UYH852001 VID852001 VRZ852001 WBV852001 WLR852001 WVN852001 F917537 JB917537 SX917537 ACT917537 AMP917537 AWL917537 BGH917537 BQD917537 BZZ917537 CJV917537 CTR917537 DDN917537 DNJ917537 DXF917537 EHB917537 EQX917537 FAT917537 FKP917537 FUL917537 GEH917537 GOD917537 GXZ917537 HHV917537 HRR917537 IBN917537 ILJ917537 IVF917537 JFB917537 JOX917537 JYT917537 KIP917537 KSL917537 LCH917537 LMD917537 LVZ917537 MFV917537 MPR917537 MZN917537 NJJ917537 NTF917537 ODB917537 OMX917537 OWT917537 PGP917537 PQL917537 QAH917537 QKD917537 QTZ917537 RDV917537 RNR917537 RXN917537 SHJ917537 SRF917537 TBB917537 TKX917537 TUT917537 UEP917537 UOL917537 UYH917537 VID917537 VRZ917537 WBV917537 WLR917537 WVN917537 F983073 JB983073 SX983073 ACT983073 AMP983073 AWL983073 BGH983073 BQD983073 BZZ983073 CJV983073 CTR983073 DDN983073 DNJ983073 DXF983073 EHB983073 EQX983073 FAT983073 FKP983073 FUL983073 GEH983073 GOD983073 GXZ983073 HHV983073 HRR983073 IBN983073 ILJ983073 IVF983073 JFB983073 JOX983073 JYT983073 KIP983073 KSL983073 LCH983073 LMD983073 LVZ983073 MFV983073 MPR983073 MZN983073 NJJ983073 NTF983073 ODB983073 OMX983073 OWT983073 PGP983073 PQL983073 QAH983073 QKD983073 QTZ983073 RDV983073 RNR983073 RXN983073 SHJ983073 SRF983073 TBB983073 TKX983073 TUT983073 UEP983073 UOL983073 UYH983073 VID983073 VRZ983073 WBV983073 WLR983073 WVN983073 F39:F40 JB39:JB40 SX39:SX40 ACT39:ACT40 AMP39:AMP40 AWL39:AWL40 BGH39:BGH40 BQD39:BQD40 BZZ39:BZZ40 CJV39:CJV40 CTR39:CTR40 DDN39:DDN40 DNJ39:DNJ40 DXF39:DXF40 EHB39:EHB40 EQX39:EQX40 FAT39:FAT40 FKP39:FKP40 FUL39:FUL40 GEH39:GEH40 GOD39:GOD40 GXZ39:GXZ40 HHV39:HHV40 HRR39:HRR40 IBN39:IBN40 ILJ39:ILJ40 IVF39:IVF40 JFB39:JFB40 JOX39:JOX40 JYT39:JYT40 KIP39:KIP40 KSL39:KSL40 LCH39:LCH40 LMD39:LMD40 LVZ39:LVZ40 MFV39:MFV40 MPR39:MPR40 MZN39:MZN40 NJJ39:NJJ40 NTF39:NTF40 ODB39:ODB40 OMX39:OMX40 OWT39:OWT40 PGP39:PGP40 PQL39:PQL40 QAH39:QAH40 QKD39:QKD40 QTZ39:QTZ40 RDV39:RDV40 RNR39:RNR40 RXN39:RXN40 SHJ39:SHJ40 SRF39:SRF40 TBB39:TBB40 TKX39:TKX40 TUT39:TUT40 UEP39:UEP40 UOL39:UOL40 UYH39:UYH40 VID39:VID40 VRZ39:VRZ40 WBV39:WBV40 WLR39:WLR40 WVN39:WVN40 F65575:F65576 JB65575:JB65576 SX65575:SX65576 ACT65575:ACT65576 AMP65575:AMP65576 AWL65575:AWL65576 BGH65575:BGH65576 BQD65575:BQD65576 BZZ65575:BZZ65576 CJV65575:CJV65576 CTR65575:CTR65576 DDN65575:DDN65576 DNJ65575:DNJ65576 DXF65575:DXF65576 EHB65575:EHB65576 EQX65575:EQX65576 FAT65575:FAT65576 FKP65575:FKP65576 FUL65575:FUL65576 GEH65575:GEH65576 GOD65575:GOD65576 GXZ65575:GXZ65576 HHV65575:HHV65576 HRR65575:HRR65576 IBN65575:IBN65576 ILJ65575:ILJ65576 IVF65575:IVF65576 JFB65575:JFB65576 JOX65575:JOX65576 JYT65575:JYT65576 KIP65575:KIP65576 KSL65575:KSL65576 LCH65575:LCH65576 LMD65575:LMD65576 LVZ65575:LVZ65576 MFV65575:MFV65576 MPR65575:MPR65576 MZN65575:MZN65576 NJJ65575:NJJ65576 NTF65575:NTF65576 ODB65575:ODB65576 OMX65575:OMX65576 OWT65575:OWT65576 PGP65575:PGP65576 PQL65575:PQL65576 QAH65575:QAH65576 QKD65575:QKD65576 QTZ65575:QTZ65576 RDV65575:RDV65576 RNR65575:RNR65576 RXN65575:RXN65576 SHJ65575:SHJ65576 SRF65575:SRF65576 TBB65575:TBB65576 TKX65575:TKX65576 TUT65575:TUT65576 UEP65575:UEP65576 UOL65575:UOL65576 UYH65575:UYH65576 VID65575:VID65576 VRZ65575:VRZ65576 WBV65575:WBV65576 WLR65575:WLR65576 WVN65575:WVN65576 F131111:F131112 JB131111:JB131112 SX131111:SX131112 ACT131111:ACT131112 AMP131111:AMP131112 AWL131111:AWL131112 BGH131111:BGH131112 BQD131111:BQD131112 BZZ131111:BZZ131112 CJV131111:CJV131112 CTR131111:CTR131112 DDN131111:DDN131112 DNJ131111:DNJ131112 DXF131111:DXF131112 EHB131111:EHB131112 EQX131111:EQX131112 FAT131111:FAT131112 FKP131111:FKP131112 FUL131111:FUL131112 GEH131111:GEH131112 GOD131111:GOD131112 GXZ131111:GXZ131112 HHV131111:HHV131112 HRR131111:HRR131112 IBN131111:IBN131112 ILJ131111:ILJ131112 IVF131111:IVF131112 JFB131111:JFB131112 JOX131111:JOX131112 JYT131111:JYT131112 KIP131111:KIP131112 KSL131111:KSL131112 LCH131111:LCH131112 LMD131111:LMD131112 LVZ131111:LVZ131112 MFV131111:MFV131112 MPR131111:MPR131112 MZN131111:MZN131112 NJJ131111:NJJ131112 NTF131111:NTF131112 ODB131111:ODB131112 OMX131111:OMX131112 OWT131111:OWT131112 PGP131111:PGP131112 PQL131111:PQL131112 QAH131111:QAH131112 QKD131111:QKD131112 QTZ131111:QTZ131112 RDV131111:RDV131112 RNR131111:RNR131112 RXN131111:RXN131112 SHJ131111:SHJ131112 SRF131111:SRF131112 TBB131111:TBB131112 TKX131111:TKX131112 TUT131111:TUT131112 UEP131111:UEP131112 UOL131111:UOL131112 UYH131111:UYH131112 VID131111:VID131112 VRZ131111:VRZ131112 WBV131111:WBV131112 WLR131111:WLR131112 WVN131111:WVN131112 F196647:F196648 JB196647:JB196648 SX196647:SX196648 ACT196647:ACT196648 AMP196647:AMP196648 AWL196647:AWL196648 BGH196647:BGH196648 BQD196647:BQD196648 BZZ196647:BZZ196648 CJV196647:CJV196648 CTR196647:CTR196648 DDN196647:DDN196648 DNJ196647:DNJ196648 DXF196647:DXF196648 EHB196647:EHB196648 EQX196647:EQX196648 FAT196647:FAT196648 FKP196647:FKP196648 FUL196647:FUL196648 GEH196647:GEH196648 GOD196647:GOD196648 GXZ196647:GXZ196648 HHV196647:HHV196648 HRR196647:HRR196648 IBN196647:IBN196648 ILJ196647:ILJ196648 IVF196647:IVF196648 JFB196647:JFB196648 JOX196647:JOX196648 JYT196647:JYT196648 KIP196647:KIP196648 KSL196647:KSL196648 LCH196647:LCH196648 LMD196647:LMD196648 LVZ196647:LVZ196648 MFV196647:MFV196648 MPR196647:MPR196648 MZN196647:MZN196648 NJJ196647:NJJ196648 NTF196647:NTF196648 ODB196647:ODB196648 OMX196647:OMX196648 OWT196647:OWT196648 PGP196647:PGP196648 PQL196647:PQL196648 QAH196647:QAH196648 QKD196647:QKD196648 QTZ196647:QTZ196648 RDV196647:RDV196648 RNR196647:RNR196648 RXN196647:RXN196648 SHJ196647:SHJ196648 SRF196647:SRF196648 TBB196647:TBB196648 TKX196647:TKX196648 TUT196647:TUT196648 UEP196647:UEP196648 UOL196647:UOL196648 UYH196647:UYH196648 VID196647:VID196648 VRZ196647:VRZ196648 WBV196647:WBV196648 WLR196647:WLR196648 WVN196647:WVN196648 F262183:F262184 JB262183:JB262184 SX262183:SX262184 ACT262183:ACT262184 AMP262183:AMP262184 AWL262183:AWL262184 BGH262183:BGH262184 BQD262183:BQD262184 BZZ262183:BZZ262184 CJV262183:CJV262184 CTR262183:CTR262184 DDN262183:DDN262184 DNJ262183:DNJ262184 DXF262183:DXF262184 EHB262183:EHB262184 EQX262183:EQX262184 FAT262183:FAT262184 FKP262183:FKP262184 FUL262183:FUL262184 GEH262183:GEH262184 GOD262183:GOD262184 GXZ262183:GXZ262184 HHV262183:HHV262184 HRR262183:HRR262184 IBN262183:IBN262184 ILJ262183:ILJ262184 IVF262183:IVF262184 JFB262183:JFB262184 JOX262183:JOX262184 JYT262183:JYT262184 KIP262183:KIP262184 KSL262183:KSL262184 LCH262183:LCH262184 LMD262183:LMD262184 LVZ262183:LVZ262184 MFV262183:MFV262184 MPR262183:MPR262184 MZN262183:MZN262184 NJJ262183:NJJ262184 NTF262183:NTF262184 ODB262183:ODB262184 OMX262183:OMX262184 OWT262183:OWT262184 PGP262183:PGP262184 PQL262183:PQL262184 QAH262183:QAH262184 QKD262183:QKD262184 QTZ262183:QTZ262184 RDV262183:RDV262184 RNR262183:RNR262184 RXN262183:RXN262184 SHJ262183:SHJ262184 SRF262183:SRF262184 TBB262183:TBB262184 TKX262183:TKX262184 TUT262183:TUT262184 UEP262183:UEP262184 UOL262183:UOL262184 UYH262183:UYH262184 VID262183:VID262184 VRZ262183:VRZ262184 WBV262183:WBV262184 WLR262183:WLR262184 WVN262183:WVN262184 F327719:F327720 JB327719:JB327720 SX327719:SX327720 ACT327719:ACT327720 AMP327719:AMP327720 AWL327719:AWL327720 BGH327719:BGH327720 BQD327719:BQD327720 BZZ327719:BZZ327720 CJV327719:CJV327720 CTR327719:CTR327720 DDN327719:DDN327720 DNJ327719:DNJ327720 DXF327719:DXF327720 EHB327719:EHB327720 EQX327719:EQX327720 FAT327719:FAT327720 FKP327719:FKP327720 FUL327719:FUL327720 GEH327719:GEH327720 GOD327719:GOD327720 GXZ327719:GXZ327720 HHV327719:HHV327720 HRR327719:HRR327720 IBN327719:IBN327720 ILJ327719:ILJ327720 IVF327719:IVF327720 JFB327719:JFB327720 JOX327719:JOX327720 JYT327719:JYT327720 KIP327719:KIP327720 KSL327719:KSL327720 LCH327719:LCH327720 LMD327719:LMD327720 LVZ327719:LVZ327720 MFV327719:MFV327720 MPR327719:MPR327720 MZN327719:MZN327720 NJJ327719:NJJ327720 NTF327719:NTF327720 ODB327719:ODB327720 OMX327719:OMX327720 OWT327719:OWT327720 PGP327719:PGP327720 PQL327719:PQL327720 QAH327719:QAH327720 QKD327719:QKD327720 QTZ327719:QTZ327720 RDV327719:RDV327720 RNR327719:RNR327720 RXN327719:RXN327720 SHJ327719:SHJ327720 SRF327719:SRF327720 TBB327719:TBB327720 TKX327719:TKX327720 TUT327719:TUT327720 UEP327719:UEP327720 UOL327719:UOL327720 UYH327719:UYH327720 VID327719:VID327720 VRZ327719:VRZ327720 WBV327719:WBV327720 WLR327719:WLR327720 WVN327719:WVN327720 F393255:F393256 JB393255:JB393256 SX393255:SX393256 ACT393255:ACT393256 AMP393255:AMP393256 AWL393255:AWL393256 BGH393255:BGH393256 BQD393255:BQD393256 BZZ393255:BZZ393256 CJV393255:CJV393256 CTR393255:CTR393256 DDN393255:DDN393256 DNJ393255:DNJ393256 DXF393255:DXF393256 EHB393255:EHB393256 EQX393255:EQX393256 FAT393255:FAT393256 FKP393255:FKP393256 FUL393255:FUL393256 GEH393255:GEH393256 GOD393255:GOD393256 GXZ393255:GXZ393256 HHV393255:HHV393256 HRR393255:HRR393256 IBN393255:IBN393256 ILJ393255:ILJ393256 IVF393255:IVF393256 JFB393255:JFB393256 JOX393255:JOX393256 JYT393255:JYT393256 KIP393255:KIP393256 KSL393255:KSL393256 LCH393255:LCH393256 LMD393255:LMD393256 LVZ393255:LVZ393256 MFV393255:MFV393256 MPR393255:MPR393256 MZN393255:MZN393256 NJJ393255:NJJ393256 NTF393255:NTF393256 ODB393255:ODB393256 OMX393255:OMX393256 OWT393255:OWT393256 PGP393255:PGP393256 PQL393255:PQL393256 QAH393255:QAH393256 QKD393255:QKD393256 QTZ393255:QTZ393256 RDV393255:RDV393256 RNR393255:RNR393256 RXN393255:RXN393256 SHJ393255:SHJ393256 SRF393255:SRF393256 TBB393255:TBB393256 TKX393255:TKX393256 TUT393255:TUT393256 UEP393255:UEP393256 UOL393255:UOL393256 UYH393255:UYH393256 VID393255:VID393256 VRZ393255:VRZ393256 WBV393255:WBV393256 WLR393255:WLR393256 WVN393255:WVN393256 F458791:F458792 JB458791:JB458792 SX458791:SX458792 ACT458791:ACT458792 AMP458791:AMP458792 AWL458791:AWL458792 BGH458791:BGH458792 BQD458791:BQD458792 BZZ458791:BZZ458792 CJV458791:CJV458792 CTR458791:CTR458792 DDN458791:DDN458792 DNJ458791:DNJ458792 DXF458791:DXF458792 EHB458791:EHB458792 EQX458791:EQX458792 FAT458791:FAT458792 FKP458791:FKP458792 FUL458791:FUL458792 GEH458791:GEH458792 GOD458791:GOD458792 GXZ458791:GXZ458792 HHV458791:HHV458792 HRR458791:HRR458792 IBN458791:IBN458792 ILJ458791:ILJ458792 IVF458791:IVF458792 JFB458791:JFB458792 JOX458791:JOX458792 JYT458791:JYT458792 KIP458791:KIP458792 KSL458791:KSL458792 LCH458791:LCH458792 LMD458791:LMD458792 LVZ458791:LVZ458792 MFV458791:MFV458792 MPR458791:MPR458792 MZN458791:MZN458792 NJJ458791:NJJ458792 NTF458791:NTF458792 ODB458791:ODB458792 OMX458791:OMX458792 OWT458791:OWT458792 PGP458791:PGP458792 PQL458791:PQL458792 QAH458791:QAH458792 QKD458791:QKD458792 QTZ458791:QTZ458792 RDV458791:RDV458792 RNR458791:RNR458792 RXN458791:RXN458792 SHJ458791:SHJ458792 SRF458791:SRF458792 TBB458791:TBB458792 TKX458791:TKX458792 TUT458791:TUT458792 UEP458791:UEP458792 UOL458791:UOL458792 UYH458791:UYH458792 VID458791:VID458792 VRZ458791:VRZ458792 WBV458791:WBV458792 WLR458791:WLR458792 WVN458791:WVN458792 F524327:F524328 JB524327:JB524328 SX524327:SX524328 ACT524327:ACT524328 AMP524327:AMP524328 AWL524327:AWL524328 BGH524327:BGH524328 BQD524327:BQD524328 BZZ524327:BZZ524328 CJV524327:CJV524328 CTR524327:CTR524328 DDN524327:DDN524328 DNJ524327:DNJ524328 DXF524327:DXF524328 EHB524327:EHB524328 EQX524327:EQX524328 FAT524327:FAT524328 FKP524327:FKP524328 FUL524327:FUL524328 GEH524327:GEH524328 GOD524327:GOD524328 GXZ524327:GXZ524328 HHV524327:HHV524328 HRR524327:HRR524328 IBN524327:IBN524328 ILJ524327:ILJ524328 IVF524327:IVF524328 JFB524327:JFB524328 JOX524327:JOX524328 JYT524327:JYT524328 KIP524327:KIP524328 KSL524327:KSL524328 LCH524327:LCH524328 LMD524327:LMD524328 LVZ524327:LVZ524328 MFV524327:MFV524328 MPR524327:MPR524328 MZN524327:MZN524328 NJJ524327:NJJ524328 NTF524327:NTF524328 ODB524327:ODB524328 OMX524327:OMX524328 OWT524327:OWT524328 PGP524327:PGP524328 PQL524327:PQL524328 QAH524327:QAH524328 QKD524327:QKD524328 QTZ524327:QTZ524328 RDV524327:RDV524328 RNR524327:RNR524328 RXN524327:RXN524328 SHJ524327:SHJ524328 SRF524327:SRF524328 TBB524327:TBB524328 TKX524327:TKX524328 TUT524327:TUT524328 UEP524327:UEP524328 UOL524327:UOL524328 UYH524327:UYH524328 VID524327:VID524328 VRZ524327:VRZ524328 WBV524327:WBV524328 WLR524327:WLR524328 WVN524327:WVN524328 F589863:F589864 JB589863:JB589864 SX589863:SX589864 ACT589863:ACT589864 AMP589863:AMP589864 AWL589863:AWL589864 BGH589863:BGH589864 BQD589863:BQD589864 BZZ589863:BZZ589864 CJV589863:CJV589864 CTR589863:CTR589864 DDN589863:DDN589864 DNJ589863:DNJ589864 DXF589863:DXF589864 EHB589863:EHB589864 EQX589863:EQX589864 FAT589863:FAT589864 FKP589863:FKP589864 FUL589863:FUL589864 GEH589863:GEH589864 GOD589863:GOD589864 GXZ589863:GXZ589864 HHV589863:HHV589864 HRR589863:HRR589864 IBN589863:IBN589864 ILJ589863:ILJ589864 IVF589863:IVF589864 JFB589863:JFB589864 JOX589863:JOX589864 JYT589863:JYT589864 KIP589863:KIP589864 KSL589863:KSL589864 LCH589863:LCH589864 LMD589863:LMD589864 LVZ589863:LVZ589864 MFV589863:MFV589864 MPR589863:MPR589864 MZN589863:MZN589864 NJJ589863:NJJ589864 NTF589863:NTF589864 ODB589863:ODB589864 OMX589863:OMX589864 OWT589863:OWT589864 PGP589863:PGP589864 PQL589863:PQL589864 QAH589863:QAH589864 QKD589863:QKD589864 QTZ589863:QTZ589864 RDV589863:RDV589864 RNR589863:RNR589864 RXN589863:RXN589864 SHJ589863:SHJ589864 SRF589863:SRF589864 TBB589863:TBB589864 TKX589863:TKX589864 TUT589863:TUT589864 UEP589863:UEP589864 UOL589863:UOL589864 UYH589863:UYH589864 VID589863:VID589864 VRZ589863:VRZ589864 WBV589863:WBV589864 WLR589863:WLR589864 WVN589863:WVN589864 F655399:F655400 JB655399:JB655400 SX655399:SX655400 ACT655399:ACT655400 AMP655399:AMP655400 AWL655399:AWL655400 BGH655399:BGH655400 BQD655399:BQD655400 BZZ655399:BZZ655400 CJV655399:CJV655400 CTR655399:CTR655400 DDN655399:DDN655400 DNJ655399:DNJ655400 DXF655399:DXF655400 EHB655399:EHB655400 EQX655399:EQX655400 FAT655399:FAT655400 FKP655399:FKP655400 FUL655399:FUL655400 GEH655399:GEH655400 GOD655399:GOD655400 GXZ655399:GXZ655400 HHV655399:HHV655400 HRR655399:HRR655400 IBN655399:IBN655400 ILJ655399:ILJ655400 IVF655399:IVF655400 JFB655399:JFB655400 JOX655399:JOX655400 JYT655399:JYT655400 KIP655399:KIP655400 KSL655399:KSL655400 LCH655399:LCH655400 LMD655399:LMD655400 LVZ655399:LVZ655400 MFV655399:MFV655400 MPR655399:MPR655400 MZN655399:MZN655400 NJJ655399:NJJ655400 NTF655399:NTF655400 ODB655399:ODB655400 OMX655399:OMX655400 OWT655399:OWT655400 PGP655399:PGP655400 PQL655399:PQL655400 QAH655399:QAH655400 QKD655399:QKD655400 QTZ655399:QTZ655400 RDV655399:RDV655400 RNR655399:RNR655400 RXN655399:RXN655400 SHJ655399:SHJ655400 SRF655399:SRF655400 TBB655399:TBB655400 TKX655399:TKX655400 TUT655399:TUT655400 UEP655399:UEP655400 UOL655399:UOL655400 UYH655399:UYH655400 VID655399:VID655400 VRZ655399:VRZ655400 WBV655399:WBV655400 WLR655399:WLR655400 WVN655399:WVN655400 F720935:F720936 JB720935:JB720936 SX720935:SX720936 ACT720935:ACT720936 AMP720935:AMP720936 AWL720935:AWL720936 BGH720935:BGH720936 BQD720935:BQD720936 BZZ720935:BZZ720936 CJV720935:CJV720936 CTR720935:CTR720936 DDN720935:DDN720936 DNJ720935:DNJ720936 DXF720935:DXF720936 EHB720935:EHB720936 EQX720935:EQX720936 FAT720935:FAT720936 FKP720935:FKP720936 FUL720935:FUL720936 GEH720935:GEH720936 GOD720935:GOD720936 GXZ720935:GXZ720936 HHV720935:HHV720936 HRR720935:HRR720936 IBN720935:IBN720936 ILJ720935:ILJ720936 IVF720935:IVF720936 JFB720935:JFB720936 JOX720935:JOX720936 JYT720935:JYT720936 KIP720935:KIP720936 KSL720935:KSL720936 LCH720935:LCH720936 LMD720935:LMD720936 LVZ720935:LVZ720936 MFV720935:MFV720936 MPR720935:MPR720936 MZN720935:MZN720936 NJJ720935:NJJ720936 NTF720935:NTF720936 ODB720935:ODB720936 OMX720935:OMX720936 OWT720935:OWT720936 PGP720935:PGP720936 PQL720935:PQL720936 QAH720935:QAH720936 QKD720935:QKD720936 QTZ720935:QTZ720936 RDV720935:RDV720936 RNR720935:RNR720936 RXN720935:RXN720936 SHJ720935:SHJ720936 SRF720935:SRF720936 TBB720935:TBB720936 TKX720935:TKX720936 TUT720935:TUT720936 UEP720935:UEP720936 UOL720935:UOL720936 UYH720935:UYH720936 VID720935:VID720936 VRZ720935:VRZ720936 WBV720935:WBV720936 WLR720935:WLR720936 WVN720935:WVN720936 F786471:F786472 JB786471:JB786472 SX786471:SX786472 ACT786471:ACT786472 AMP786471:AMP786472 AWL786471:AWL786472 BGH786471:BGH786472 BQD786471:BQD786472 BZZ786471:BZZ786472 CJV786471:CJV786472 CTR786471:CTR786472 DDN786471:DDN786472 DNJ786471:DNJ786472 DXF786471:DXF786472 EHB786471:EHB786472 EQX786471:EQX786472 FAT786471:FAT786472 FKP786471:FKP786472 FUL786471:FUL786472 GEH786471:GEH786472 GOD786471:GOD786472 GXZ786471:GXZ786472 HHV786471:HHV786472 HRR786471:HRR786472 IBN786471:IBN786472 ILJ786471:ILJ786472 IVF786471:IVF786472 JFB786471:JFB786472 JOX786471:JOX786472 JYT786471:JYT786472 KIP786471:KIP786472 KSL786471:KSL786472 LCH786471:LCH786472 LMD786471:LMD786472 LVZ786471:LVZ786472 MFV786471:MFV786472 MPR786471:MPR786472 MZN786471:MZN786472 NJJ786471:NJJ786472 NTF786471:NTF786472 ODB786471:ODB786472 OMX786471:OMX786472 OWT786471:OWT786472 PGP786471:PGP786472 PQL786471:PQL786472 QAH786471:QAH786472 QKD786471:QKD786472 QTZ786471:QTZ786472 RDV786471:RDV786472 RNR786471:RNR786472 RXN786471:RXN786472 SHJ786471:SHJ786472 SRF786471:SRF786472 TBB786471:TBB786472 TKX786471:TKX786472 TUT786471:TUT786472 UEP786471:UEP786472 UOL786471:UOL786472 UYH786471:UYH786472 VID786471:VID786472 VRZ786471:VRZ786472 WBV786471:WBV786472 WLR786471:WLR786472 WVN786471:WVN786472 F852007:F852008 JB852007:JB852008 SX852007:SX852008 ACT852007:ACT852008 AMP852007:AMP852008 AWL852007:AWL852008 BGH852007:BGH852008 BQD852007:BQD852008 BZZ852007:BZZ852008 CJV852007:CJV852008 CTR852007:CTR852008 DDN852007:DDN852008 DNJ852007:DNJ852008 DXF852007:DXF852008 EHB852007:EHB852008 EQX852007:EQX852008 FAT852007:FAT852008 FKP852007:FKP852008 FUL852007:FUL852008 GEH852007:GEH852008 GOD852007:GOD852008 GXZ852007:GXZ852008 HHV852007:HHV852008 HRR852007:HRR852008 IBN852007:IBN852008 ILJ852007:ILJ852008 IVF852007:IVF852008 JFB852007:JFB852008 JOX852007:JOX852008 JYT852007:JYT852008 KIP852007:KIP852008 KSL852007:KSL852008 LCH852007:LCH852008 LMD852007:LMD852008 LVZ852007:LVZ852008 MFV852007:MFV852008 MPR852007:MPR852008 MZN852007:MZN852008 NJJ852007:NJJ852008 NTF852007:NTF852008 ODB852007:ODB852008 OMX852007:OMX852008 OWT852007:OWT852008 PGP852007:PGP852008 PQL852007:PQL852008 QAH852007:QAH852008 QKD852007:QKD852008 QTZ852007:QTZ852008 RDV852007:RDV852008 RNR852007:RNR852008 RXN852007:RXN852008 SHJ852007:SHJ852008 SRF852007:SRF852008 TBB852007:TBB852008 TKX852007:TKX852008 TUT852007:TUT852008 UEP852007:UEP852008 UOL852007:UOL852008 UYH852007:UYH852008 VID852007:VID852008 VRZ852007:VRZ852008 WBV852007:WBV852008 WLR852007:WLR852008 WVN852007:WVN852008 F917543:F917544 JB917543:JB917544 SX917543:SX917544 ACT917543:ACT917544 AMP917543:AMP917544 AWL917543:AWL917544 BGH917543:BGH917544 BQD917543:BQD917544 BZZ917543:BZZ917544 CJV917543:CJV917544 CTR917543:CTR917544 DDN917543:DDN917544 DNJ917543:DNJ917544 DXF917543:DXF917544 EHB917543:EHB917544 EQX917543:EQX917544 FAT917543:FAT917544 FKP917543:FKP917544 FUL917543:FUL917544 GEH917543:GEH917544 GOD917543:GOD917544 GXZ917543:GXZ917544 HHV917543:HHV917544 HRR917543:HRR917544 IBN917543:IBN917544 ILJ917543:ILJ917544 IVF917543:IVF917544 JFB917543:JFB917544 JOX917543:JOX917544 JYT917543:JYT917544 KIP917543:KIP917544 KSL917543:KSL917544 LCH917543:LCH917544 LMD917543:LMD917544 LVZ917543:LVZ917544 MFV917543:MFV917544 MPR917543:MPR917544 MZN917543:MZN917544 NJJ917543:NJJ917544 NTF917543:NTF917544 ODB917543:ODB917544 OMX917543:OMX917544 OWT917543:OWT917544 PGP917543:PGP917544 PQL917543:PQL917544 QAH917543:QAH917544 QKD917543:QKD917544 QTZ917543:QTZ917544 RDV917543:RDV917544 RNR917543:RNR917544 RXN917543:RXN917544 SHJ917543:SHJ917544 SRF917543:SRF917544 TBB917543:TBB917544 TKX917543:TKX917544 TUT917543:TUT917544 UEP917543:UEP917544 UOL917543:UOL917544 UYH917543:UYH917544 VID917543:VID917544 VRZ917543:VRZ917544 WBV917543:WBV917544 WLR917543:WLR917544 WVN917543:WVN917544 F983079:F983080 JB983079:JB983080 SX983079:SX983080 ACT983079:ACT983080 AMP983079:AMP983080 AWL983079:AWL983080 BGH983079:BGH983080 BQD983079:BQD983080 BZZ983079:BZZ983080 CJV983079:CJV983080 CTR983079:CTR983080 DDN983079:DDN983080 DNJ983079:DNJ983080 DXF983079:DXF983080 EHB983079:EHB983080 EQX983079:EQX983080 FAT983079:FAT983080 FKP983079:FKP983080 FUL983079:FUL983080 GEH983079:GEH983080 GOD983079:GOD983080 GXZ983079:GXZ983080 HHV983079:HHV983080 HRR983079:HRR983080 IBN983079:IBN983080 ILJ983079:ILJ983080 IVF983079:IVF983080 JFB983079:JFB983080 JOX983079:JOX983080 JYT983079:JYT983080 KIP983079:KIP983080 KSL983079:KSL983080 LCH983079:LCH983080 LMD983079:LMD983080 LVZ983079:LVZ983080 MFV983079:MFV983080 MPR983079:MPR983080 MZN983079:MZN983080 NJJ983079:NJJ983080 NTF983079:NTF983080 ODB983079:ODB983080 OMX983079:OMX983080 OWT983079:OWT983080 PGP983079:PGP983080 PQL983079:PQL983080 QAH983079:QAH983080 QKD983079:QKD983080 QTZ983079:QTZ983080 RDV983079:RDV983080 RNR983079:RNR983080 RXN983079:RXN983080 SHJ983079:SHJ983080 SRF983079:SRF983080 TBB983079:TBB983080 TKX983079:TKX983080 TUT983079:TUT983080 UEP983079:UEP983080 UOL983079:UOL983080 UYH983079:UYH983080 VID983079:VID983080 VRZ983079:VRZ983080 WBV983079:WBV983080 WLR983079:WLR983080 WVN983079:WVN983080 F46:F48 JB46:JB48 SX46:SX48 ACT46:ACT48 AMP46:AMP48 AWL46:AWL48 BGH46:BGH48 BQD46:BQD48 BZZ46:BZZ48 CJV46:CJV48 CTR46:CTR48 DDN46:DDN48 DNJ46:DNJ48 DXF46:DXF48 EHB46:EHB48 EQX46:EQX48 FAT46:FAT48 FKP46:FKP48 FUL46:FUL48 GEH46:GEH48 GOD46:GOD48 GXZ46:GXZ48 HHV46:HHV48 HRR46:HRR48 IBN46:IBN48 ILJ46:ILJ48 IVF46:IVF48 JFB46:JFB48 JOX46:JOX48 JYT46:JYT48 KIP46:KIP48 KSL46:KSL48 LCH46:LCH48 LMD46:LMD48 LVZ46:LVZ48 MFV46:MFV48 MPR46:MPR48 MZN46:MZN48 NJJ46:NJJ48 NTF46:NTF48 ODB46:ODB48 OMX46:OMX48 OWT46:OWT48 PGP46:PGP48 PQL46:PQL48 QAH46:QAH48 QKD46:QKD48 QTZ46:QTZ48 RDV46:RDV48 RNR46:RNR48 RXN46:RXN48 SHJ46:SHJ48 SRF46:SRF48 TBB46:TBB48 TKX46:TKX48 TUT46:TUT48 UEP46:UEP48 UOL46:UOL48 UYH46:UYH48 VID46:VID48 VRZ46:VRZ48 WBV46:WBV48 WLR46:WLR48 WVN46:WVN48 F65582:F65584 JB65582:JB65584 SX65582:SX65584 ACT65582:ACT65584 AMP65582:AMP65584 AWL65582:AWL65584 BGH65582:BGH65584 BQD65582:BQD65584 BZZ65582:BZZ65584 CJV65582:CJV65584 CTR65582:CTR65584 DDN65582:DDN65584 DNJ65582:DNJ65584 DXF65582:DXF65584 EHB65582:EHB65584 EQX65582:EQX65584 FAT65582:FAT65584 FKP65582:FKP65584 FUL65582:FUL65584 GEH65582:GEH65584 GOD65582:GOD65584 GXZ65582:GXZ65584 HHV65582:HHV65584 HRR65582:HRR65584 IBN65582:IBN65584 ILJ65582:ILJ65584 IVF65582:IVF65584 JFB65582:JFB65584 JOX65582:JOX65584 JYT65582:JYT65584 KIP65582:KIP65584 KSL65582:KSL65584 LCH65582:LCH65584 LMD65582:LMD65584 LVZ65582:LVZ65584 MFV65582:MFV65584 MPR65582:MPR65584 MZN65582:MZN65584 NJJ65582:NJJ65584 NTF65582:NTF65584 ODB65582:ODB65584 OMX65582:OMX65584 OWT65582:OWT65584 PGP65582:PGP65584 PQL65582:PQL65584 QAH65582:QAH65584 QKD65582:QKD65584 QTZ65582:QTZ65584 RDV65582:RDV65584 RNR65582:RNR65584 RXN65582:RXN65584 SHJ65582:SHJ65584 SRF65582:SRF65584 TBB65582:TBB65584 TKX65582:TKX65584 TUT65582:TUT65584 UEP65582:UEP65584 UOL65582:UOL65584 UYH65582:UYH65584 VID65582:VID65584 VRZ65582:VRZ65584 WBV65582:WBV65584 WLR65582:WLR65584 WVN65582:WVN65584 F131118:F131120 JB131118:JB131120 SX131118:SX131120 ACT131118:ACT131120 AMP131118:AMP131120 AWL131118:AWL131120 BGH131118:BGH131120 BQD131118:BQD131120 BZZ131118:BZZ131120 CJV131118:CJV131120 CTR131118:CTR131120 DDN131118:DDN131120 DNJ131118:DNJ131120 DXF131118:DXF131120 EHB131118:EHB131120 EQX131118:EQX131120 FAT131118:FAT131120 FKP131118:FKP131120 FUL131118:FUL131120 GEH131118:GEH131120 GOD131118:GOD131120 GXZ131118:GXZ131120 HHV131118:HHV131120 HRR131118:HRR131120 IBN131118:IBN131120 ILJ131118:ILJ131120 IVF131118:IVF131120 JFB131118:JFB131120 JOX131118:JOX131120 JYT131118:JYT131120 KIP131118:KIP131120 KSL131118:KSL131120 LCH131118:LCH131120 LMD131118:LMD131120 LVZ131118:LVZ131120 MFV131118:MFV131120 MPR131118:MPR131120 MZN131118:MZN131120 NJJ131118:NJJ131120 NTF131118:NTF131120 ODB131118:ODB131120 OMX131118:OMX131120 OWT131118:OWT131120 PGP131118:PGP131120 PQL131118:PQL131120 QAH131118:QAH131120 QKD131118:QKD131120 QTZ131118:QTZ131120 RDV131118:RDV131120 RNR131118:RNR131120 RXN131118:RXN131120 SHJ131118:SHJ131120 SRF131118:SRF131120 TBB131118:TBB131120 TKX131118:TKX131120 TUT131118:TUT131120 UEP131118:UEP131120 UOL131118:UOL131120 UYH131118:UYH131120 VID131118:VID131120 VRZ131118:VRZ131120 WBV131118:WBV131120 WLR131118:WLR131120 WVN131118:WVN131120 F196654:F196656 JB196654:JB196656 SX196654:SX196656 ACT196654:ACT196656 AMP196654:AMP196656 AWL196654:AWL196656 BGH196654:BGH196656 BQD196654:BQD196656 BZZ196654:BZZ196656 CJV196654:CJV196656 CTR196654:CTR196656 DDN196654:DDN196656 DNJ196654:DNJ196656 DXF196654:DXF196656 EHB196654:EHB196656 EQX196654:EQX196656 FAT196654:FAT196656 FKP196654:FKP196656 FUL196654:FUL196656 GEH196654:GEH196656 GOD196654:GOD196656 GXZ196654:GXZ196656 HHV196654:HHV196656 HRR196654:HRR196656 IBN196654:IBN196656 ILJ196654:ILJ196656 IVF196654:IVF196656 JFB196654:JFB196656 JOX196654:JOX196656 JYT196654:JYT196656 KIP196654:KIP196656 KSL196654:KSL196656 LCH196654:LCH196656 LMD196654:LMD196656 LVZ196654:LVZ196656 MFV196654:MFV196656 MPR196654:MPR196656 MZN196654:MZN196656 NJJ196654:NJJ196656 NTF196654:NTF196656 ODB196654:ODB196656 OMX196654:OMX196656 OWT196654:OWT196656 PGP196654:PGP196656 PQL196654:PQL196656 QAH196654:QAH196656 QKD196654:QKD196656 QTZ196654:QTZ196656 RDV196654:RDV196656 RNR196654:RNR196656 RXN196654:RXN196656 SHJ196654:SHJ196656 SRF196654:SRF196656 TBB196654:TBB196656 TKX196654:TKX196656 TUT196654:TUT196656 UEP196654:UEP196656 UOL196654:UOL196656 UYH196654:UYH196656 VID196654:VID196656 VRZ196654:VRZ196656 WBV196654:WBV196656 WLR196654:WLR196656 WVN196654:WVN196656 F262190:F262192 JB262190:JB262192 SX262190:SX262192 ACT262190:ACT262192 AMP262190:AMP262192 AWL262190:AWL262192 BGH262190:BGH262192 BQD262190:BQD262192 BZZ262190:BZZ262192 CJV262190:CJV262192 CTR262190:CTR262192 DDN262190:DDN262192 DNJ262190:DNJ262192 DXF262190:DXF262192 EHB262190:EHB262192 EQX262190:EQX262192 FAT262190:FAT262192 FKP262190:FKP262192 FUL262190:FUL262192 GEH262190:GEH262192 GOD262190:GOD262192 GXZ262190:GXZ262192 HHV262190:HHV262192 HRR262190:HRR262192 IBN262190:IBN262192 ILJ262190:ILJ262192 IVF262190:IVF262192 JFB262190:JFB262192 JOX262190:JOX262192 JYT262190:JYT262192 KIP262190:KIP262192 KSL262190:KSL262192 LCH262190:LCH262192 LMD262190:LMD262192 LVZ262190:LVZ262192 MFV262190:MFV262192 MPR262190:MPR262192 MZN262190:MZN262192 NJJ262190:NJJ262192 NTF262190:NTF262192 ODB262190:ODB262192 OMX262190:OMX262192 OWT262190:OWT262192 PGP262190:PGP262192 PQL262190:PQL262192 QAH262190:QAH262192 QKD262190:QKD262192 QTZ262190:QTZ262192 RDV262190:RDV262192 RNR262190:RNR262192 RXN262190:RXN262192 SHJ262190:SHJ262192 SRF262190:SRF262192 TBB262190:TBB262192 TKX262190:TKX262192 TUT262190:TUT262192 UEP262190:UEP262192 UOL262190:UOL262192 UYH262190:UYH262192 VID262190:VID262192 VRZ262190:VRZ262192 WBV262190:WBV262192 WLR262190:WLR262192 WVN262190:WVN262192 F327726:F327728 JB327726:JB327728 SX327726:SX327728 ACT327726:ACT327728 AMP327726:AMP327728 AWL327726:AWL327728 BGH327726:BGH327728 BQD327726:BQD327728 BZZ327726:BZZ327728 CJV327726:CJV327728 CTR327726:CTR327728 DDN327726:DDN327728 DNJ327726:DNJ327728 DXF327726:DXF327728 EHB327726:EHB327728 EQX327726:EQX327728 FAT327726:FAT327728 FKP327726:FKP327728 FUL327726:FUL327728 GEH327726:GEH327728 GOD327726:GOD327728 GXZ327726:GXZ327728 HHV327726:HHV327728 HRR327726:HRR327728 IBN327726:IBN327728 ILJ327726:ILJ327728 IVF327726:IVF327728 JFB327726:JFB327728 JOX327726:JOX327728 JYT327726:JYT327728 KIP327726:KIP327728 KSL327726:KSL327728 LCH327726:LCH327728 LMD327726:LMD327728 LVZ327726:LVZ327728 MFV327726:MFV327728 MPR327726:MPR327728 MZN327726:MZN327728 NJJ327726:NJJ327728 NTF327726:NTF327728 ODB327726:ODB327728 OMX327726:OMX327728 OWT327726:OWT327728 PGP327726:PGP327728 PQL327726:PQL327728 QAH327726:QAH327728 QKD327726:QKD327728 QTZ327726:QTZ327728 RDV327726:RDV327728 RNR327726:RNR327728 RXN327726:RXN327728 SHJ327726:SHJ327728 SRF327726:SRF327728 TBB327726:TBB327728 TKX327726:TKX327728 TUT327726:TUT327728 UEP327726:UEP327728 UOL327726:UOL327728 UYH327726:UYH327728 VID327726:VID327728 VRZ327726:VRZ327728 WBV327726:WBV327728 WLR327726:WLR327728 WVN327726:WVN327728 F393262:F393264 JB393262:JB393264 SX393262:SX393264 ACT393262:ACT393264 AMP393262:AMP393264 AWL393262:AWL393264 BGH393262:BGH393264 BQD393262:BQD393264 BZZ393262:BZZ393264 CJV393262:CJV393264 CTR393262:CTR393264 DDN393262:DDN393264 DNJ393262:DNJ393264 DXF393262:DXF393264 EHB393262:EHB393264 EQX393262:EQX393264 FAT393262:FAT393264 FKP393262:FKP393264 FUL393262:FUL393264 GEH393262:GEH393264 GOD393262:GOD393264 GXZ393262:GXZ393264 HHV393262:HHV393264 HRR393262:HRR393264 IBN393262:IBN393264 ILJ393262:ILJ393264 IVF393262:IVF393264 JFB393262:JFB393264 JOX393262:JOX393264 JYT393262:JYT393264 KIP393262:KIP393264 KSL393262:KSL393264 LCH393262:LCH393264 LMD393262:LMD393264 LVZ393262:LVZ393264 MFV393262:MFV393264 MPR393262:MPR393264 MZN393262:MZN393264 NJJ393262:NJJ393264 NTF393262:NTF393264 ODB393262:ODB393264 OMX393262:OMX393264 OWT393262:OWT393264 PGP393262:PGP393264 PQL393262:PQL393264 QAH393262:QAH393264 QKD393262:QKD393264 QTZ393262:QTZ393264 RDV393262:RDV393264 RNR393262:RNR393264 RXN393262:RXN393264 SHJ393262:SHJ393264 SRF393262:SRF393264 TBB393262:TBB393264 TKX393262:TKX393264 TUT393262:TUT393264 UEP393262:UEP393264 UOL393262:UOL393264 UYH393262:UYH393264 VID393262:VID393264 VRZ393262:VRZ393264 WBV393262:WBV393264 WLR393262:WLR393264 WVN393262:WVN393264 F458798:F458800 JB458798:JB458800 SX458798:SX458800 ACT458798:ACT458800 AMP458798:AMP458800 AWL458798:AWL458800 BGH458798:BGH458800 BQD458798:BQD458800 BZZ458798:BZZ458800 CJV458798:CJV458800 CTR458798:CTR458800 DDN458798:DDN458800 DNJ458798:DNJ458800 DXF458798:DXF458800 EHB458798:EHB458800 EQX458798:EQX458800 FAT458798:FAT458800 FKP458798:FKP458800 FUL458798:FUL458800 GEH458798:GEH458800 GOD458798:GOD458800 GXZ458798:GXZ458800 HHV458798:HHV458800 HRR458798:HRR458800 IBN458798:IBN458800 ILJ458798:ILJ458800 IVF458798:IVF458800 JFB458798:JFB458800 JOX458798:JOX458800 JYT458798:JYT458800 KIP458798:KIP458800 KSL458798:KSL458800 LCH458798:LCH458800 LMD458798:LMD458800 LVZ458798:LVZ458800 MFV458798:MFV458800 MPR458798:MPR458800 MZN458798:MZN458800 NJJ458798:NJJ458800 NTF458798:NTF458800 ODB458798:ODB458800 OMX458798:OMX458800 OWT458798:OWT458800 PGP458798:PGP458800 PQL458798:PQL458800 QAH458798:QAH458800 QKD458798:QKD458800 QTZ458798:QTZ458800 RDV458798:RDV458800 RNR458798:RNR458800 RXN458798:RXN458800 SHJ458798:SHJ458800 SRF458798:SRF458800 TBB458798:TBB458800 TKX458798:TKX458800 TUT458798:TUT458800 UEP458798:UEP458800 UOL458798:UOL458800 UYH458798:UYH458800 VID458798:VID458800 VRZ458798:VRZ458800 WBV458798:WBV458800 WLR458798:WLR458800 WVN458798:WVN458800 F524334:F524336 JB524334:JB524336 SX524334:SX524336 ACT524334:ACT524336 AMP524334:AMP524336 AWL524334:AWL524336 BGH524334:BGH524336 BQD524334:BQD524336 BZZ524334:BZZ524336 CJV524334:CJV524336 CTR524334:CTR524336 DDN524334:DDN524336 DNJ524334:DNJ524336 DXF524334:DXF524336 EHB524334:EHB524336 EQX524334:EQX524336 FAT524334:FAT524336 FKP524334:FKP524336 FUL524334:FUL524336 GEH524334:GEH524336 GOD524334:GOD524336 GXZ524334:GXZ524336 HHV524334:HHV524336 HRR524334:HRR524336 IBN524334:IBN524336 ILJ524334:ILJ524336 IVF524334:IVF524336 JFB524334:JFB524336 JOX524334:JOX524336 JYT524334:JYT524336 KIP524334:KIP524336 KSL524334:KSL524336 LCH524334:LCH524336 LMD524334:LMD524336 LVZ524334:LVZ524336 MFV524334:MFV524336 MPR524334:MPR524336 MZN524334:MZN524336 NJJ524334:NJJ524336 NTF524334:NTF524336 ODB524334:ODB524336 OMX524334:OMX524336 OWT524334:OWT524336 PGP524334:PGP524336 PQL524334:PQL524336 QAH524334:QAH524336 QKD524334:QKD524336 QTZ524334:QTZ524336 RDV524334:RDV524336 RNR524334:RNR524336 RXN524334:RXN524336 SHJ524334:SHJ524336 SRF524334:SRF524336 TBB524334:TBB524336 TKX524334:TKX524336 TUT524334:TUT524336 UEP524334:UEP524336 UOL524334:UOL524336 UYH524334:UYH524336 VID524334:VID524336 VRZ524334:VRZ524336 WBV524334:WBV524336 WLR524334:WLR524336 WVN524334:WVN524336 F589870:F589872 JB589870:JB589872 SX589870:SX589872 ACT589870:ACT589872 AMP589870:AMP589872 AWL589870:AWL589872 BGH589870:BGH589872 BQD589870:BQD589872 BZZ589870:BZZ589872 CJV589870:CJV589872 CTR589870:CTR589872 DDN589870:DDN589872 DNJ589870:DNJ589872 DXF589870:DXF589872 EHB589870:EHB589872 EQX589870:EQX589872 FAT589870:FAT589872 FKP589870:FKP589872 FUL589870:FUL589872 GEH589870:GEH589872 GOD589870:GOD589872 GXZ589870:GXZ589872 HHV589870:HHV589872 HRR589870:HRR589872 IBN589870:IBN589872 ILJ589870:ILJ589872 IVF589870:IVF589872 JFB589870:JFB589872 JOX589870:JOX589872 JYT589870:JYT589872 KIP589870:KIP589872 KSL589870:KSL589872 LCH589870:LCH589872 LMD589870:LMD589872 LVZ589870:LVZ589872 MFV589870:MFV589872 MPR589870:MPR589872 MZN589870:MZN589872 NJJ589870:NJJ589872 NTF589870:NTF589872 ODB589870:ODB589872 OMX589870:OMX589872 OWT589870:OWT589872 PGP589870:PGP589872 PQL589870:PQL589872 QAH589870:QAH589872 QKD589870:QKD589872 QTZ589870:QTZ589872 RDV589870:RDV589872 RNR589870:RNR589872 RXN589870:RXN589872 SHJ589870:SHJ589872 SRF589870:SRF589872 TBB589870:TBB589872 TKX589870:TKX589872 TUT589870:TUT589872 UEP589870:UEP589872 UOL589870:UOL589872 UYH589870:UYH589872 VID589870:VID589872 VRZ589870:VRZ589872 WBV589870:WBV589872 WLR589870:WLR589872 WVN589870:WVN589872 F655406:F655408 JB655406:JB655408 SX655406:SX655408 ACT655406:ACT655408 AMP655406:AMP655408 AWL655406:AWL655408 BGH655406:BGH655408 BQD655406:BQD655408 BZZ655406:BZZ655408 CJV655406:CJV655408 CTR655406:CTR655408 DDN655406:DDN655408 DNJ655406:DNJ655408 DXF655406:DXF655408 EHB655406:EHB655408 EQX655406:EQX655408 FAT655406:FAT655408 FKP655406:FKP655408 FUL655406:FUL655408 GEH655406:GEH655408 GOD655406:GOD655408 GXZ655406:GXZ655408 HHV655406:HHV655408 HRR655406:HRR655408 IBN655406:IBN655408 ILJ655406:ILJ655408 IVF655406:IVF655408 JFB655406:JFB655408 JOX655406:JOX655408 JYT655406:JYT655408 KIP655406:KIP655408 KSL655406:KSL655408 LCH655406:LCH655408 LMD655406:LMD655408 LVZ655406:LVZ655408 MFV655406:MFV655408 MPR655406:MPR655408 MZN655406:MZN655408 NJJ655406:NJJ655408 NTF655406:NTF655408 ODB655406:ODB655408 OMX655406:OMX655408 OWT655406:OWT655408 PGP655406:PGP655408 PQL655406:PQL655408 QAH655406:QAH655408 QKD655406:QKD655408 QTZ655406:QTZ655408 RDV655406:RDV655408 RNR655406:RNR655408 RXN655406:RXN655408 SHJ655406:SHJ655408 SRF655406:SRF655408 TBB655406:TBB655408 TKX655406:TKX655408 TUT655406:TUT655408 UEP655406:UEP655408 UOL655406:UOL655408 UYH655406:UYH655408 VID655406:VID655408 VRZ655406:VRZ655408 WBV655406:WBV655408 WLR655406:WLR655408 WVN655406:WVN655408 F720942:F720944 JB720942:JB720944 SX720942:SX720944 ACT720942:ACT720944 AMP720942:AMP720944 AWL720942:AWL720944 BGH720942:BGH720944 BQD720942:BQD720944 BZZ720942:BZZ720944 CJV720942:CJV720944 CTR720942:CTR720944 DDN720942:DDN720944 DNJ720942:DNJ720944 DXF720942:DXF720944 EHB720942:EHB720944 EQX720942:EQX720944 FAT720942:FAT720944 FKP720942:FKP720944 FUL720942:FUL720944 GEH720942:GEH720944 GOD720942:GOD720944 GXZ720942:GXZ720944 HHV720942:HHV720944 HRR720942:HRR720944 IBN720942:IBN720944 ILJ720942:ILJ720944 IVF720942:IVF720944 JFB720942:JFB720944 JOX720942:JOX720944 JYT720942:JYT720944 KIP720942:KIP720944 KSL720942:KSL720944 LCH720942:LCH720944 LMD720942:LMD720944 LVZ720942:LVZ720944 MFV720942:MFV720944 MPR720942:MPR720944 MZN720942:MZN720944 NJJ720942:NJJ720944 NTF720942:NTF720944 ODB720942:ODB720944 OMX720942:OMX720944 OWT720942:OWT720944 PGP720942:PGP720944 PQL720942:PQL720944 QAH720942:QAH720944 QKD720942:QKD720944 QTZ720942:QTZ720944 RDV720942:RDV720944 RNR720942:RNR720944 RXN720942:RXN720944 SHJ720942:SHJ720944 SRF720942:SRF720944 TBB720942:TBB720944 TKX720942:TKX720944 TUT720942:TUT720944 UEP720942:UEP720944 UOL720942:UOL720944 UYH720942:UYH720944 VID720942:VID720944 VRZ720942:VRZ720944 WBV720942:WBV720944 WLR720942:WLR720944 WVN720942:WVN720944 F786478:F786480 JB786478:JB786480 SX786478:SX786480 ACT786478:ACT786480 AMP786478:AMP786480 AWL786478:AWL786480 BGH786478:BGH786480 BQD786478:BQD786480 BZZ786478:BZZ786480 CJV786478:CJV786480 CTR786478:CTR786480 DDN786478:DDN786480 DNJ786478:DNJ786480 DXF786478:DXF786480 EHB786478:EHB786480 EQX786478:EQX786480 FAT786478:FAT786480 FKP786478:FKP786480 FUL786478:FUL786480 GEH786478:GEH786480 GOD786478:GOD786480 GXZ786478:GXZ786480 HHV786478:HHV786480 HRR786478:HRR786480 IBN786478:IBN786480 ILJ786478:ILJ786480 IVF786478:IVF786480 JFB786478:JFB786480 JOX786478:JOX786480 JYT786478:JYT786480 KIP786478:KIP786480 KSL786478:KSL786480 LCH786478:LCH786480 LMD786478:LMD786480 LVZ786478:LVZ786480 MFV786478:MFV786480 MPR786478:MPR786480 MZN786478:MZN786480 NJJ786478:NJJ786480 NTF786478:NTF786480 ODB786478:ODB786480 OMX786478:OMX786480 OWT786478:OWT786480 PGP786478:PGP786480 PQL786478:PQL786480 QAH786478:QAH786480 QKD786478:QKD786480 QTZ786478:QTZ786480 RDV786478:RDV786480 RNR786478:RNR786480 RXN786478:RXN786480 SHJ786478:SHJ786480 SRF786478:SRF786480 TBB786478:TBB786480 TKX786478:TKX786480 TUT786478:TUT786480 UEP786478:UEP786480 UOL786478:UOL786480 UYH786478:UYH786480 VID786478:VID786480 VRZ786478:VRZ786480 WBV786478:WBV786480 WLR786478:WLR786480 WVN786478:WVN786480 F852014:F852016 JB852014:JB852016 SX852014:SX852016 ACT852014:ACT852016 AMP852014:AMP852016 AWL852014:AWL852016 BGH852014:BGH852016 BQD852014:BQD852016 BZZ852014:BZZ852016 CJV852014:CJV852016 CTR852014:CTR852016 DDN852014:DDN852016 DNJ852014:DNJ852016 DXF852014:DXF852016 EHB852014:EHB852016 EQX852014:EQX852016 FAT852014:FAT852016 FKP852014:FKP852016 FUL852014:FUL852016 GEH852014:GEH852016 GOD852014:GOD852016 GXZ852014:GXZ852016 HHV852014:HHV852016 HRR852014:HRR852016 IBN852014:IBN852016 ILJ852014:ILJ852016 IVF852014:IVF852016 JFB852014:JFB852016 JOX852014:JOX852016 JYT852014:JYT852016 KIP852014:KIP852016 KSL852014:KSL852016 LCH852014:LCH852016 LMD852014:LMD852016 LVZ852014:LVZ852016 MFV852014:MFV852016 MPR852014:MPR852016 MZN852014:MZN852016 NJJ852014:NJJ852016 NTF852014:NTF852016 ODB852014:ODB852016 OMX852014:OMX852016 OWT852014:OWT852016 PGP852014:PGP852016 PQL852014:PQL852016 QAH852014:QAH852016 QKD852014:QKD852016 QTZ852014:QTZ852016 RDV852014:RDV852016 RNR852014:RNR852016 RXN852014:RXN852016 SHJ852014:SHJ852016 SRF852014:SRF852016 TBB852014:TBB852016 TKX852014:TKX852016 TUT852014:TUT852016 UEP852014:UEP852016 UOL852014:UOL852016 UYH852014:UYH852016 VID852014:VID852016 VRZ852014:VRZ852016 WBV852014:WBV852016 WLR852014:WLR852016 WVN852014:WVN852016 F917550:F917552 JB917550:JB917552 SX917550:SX917552 ACT917550:ACT917552 AMP917550:AMP917552 AWL917550:AWL917552 BGH917550:BGH917552 BQD917550:BQD917552 BZZ917550:BZZ917552 CJV917550:CJV917552 CTR917550:CTR917552 DDN917550:DDN917552 DNJ917550:DNJ917552 DXF917550:DXF917552 EHB917550:EHB917552 EQX917550:EQX917552 FAT917550:FAT917552 FKP917550:FKP917552 FUL917550:FUL917552 GEH917550:GEH917552 GOD917550:GOD917552 GXZ917550:GXZ917552 HHV917550:HHV917552 HRR917550:HRR917552 IBN917550:IBN917552 ILJ917550:ILJ917552 IVF917550:IVF917552 JFB917550:JFB917552 JOX917550:JOX917552 JYT917550:JYT917552 KIP917550:KIP917552 KSL917550:KSL917552 LCH917550:LCH917552 LMD917550:LMD917552 LVZ917550:LVZ917552 MFV917550:MFV917552 MPR917550:MPR917552 MZN917550:MZN917552 NJJ917550:NJJ917552 NTF917550:NTF917552 ODB917550:ODB917552 OMX917550:OMX917552 OWT917550:OWT917552 PGP917550:PGP917552 PQL917550:PQL917552 QAH917550:QAH917552 QKD917550:QKD917552 QTZ917550:QTZ917552 RDV917550:RDV917552 RNR917550:RNR917552 RXN917550:RXN917552 SHJ917550:SHJ917552 SRF917550:SRF917552 TBB917550:TBB917552 TKX917550:TKX917552 TUT917550:TUT917552 UEP917550:UEP917552 UOL917550:UOL917552 UYH917550:UYH917552 VID917550:VID917552 VRZ917550:VRZ917552 WBV917550:WBV917552 WLR917550:WLR917552 WVN917550:WVN917552 F983086:F983088 JB983086:JB983088 SX983086:SX983088 ACT983086:ACT983088 AMP983086:AMP983088 AWL983086:AWL983088 BGH983086:BGH983088 BQD983086:BQD983088 BZZ983086:BZZ983088 CJV983086:CJV983088 CTR983086:CTR983088 DDN983086:DDN983088 DNJ983086:DNJ983088 DXF983086:DXF983088 EHB983086:EHB983088 EQX983086:EQX983088 FAT983086:FAT983088 FKP983086:FKP983088 FUL983086:FUL983088 GEH983086:GEH983088 GOD983086:GOD983088 GXZ983086:GXZ983088 HHV983086:HHV983088 HRR983086:HRR983088 IBN983086:IBN983088 ILJ983086:ILJ983088 IVF983086:IVF983088 JFB983086:JFB983088 JOX983086:JOX983088 JYT983086:JYT983088 KIP983086:KIP983088 KSL983086:KSL983088 LCH983086:LCH983088 LMD983086:LMD983088 LVZ983086:LVZ983088 MFV983086:MFV983088 MPR983086:MPR983088 MZN983086:MZN983088 NJJ983086:NJJ983088 NTF983086:NTF983088 ODB983086:ODB983088 OMX983086:OMX983088 OWT983086:OWT983088 PGP983086:PGP983088 PQL983086:PQL983088 QAH983086:QAH983088 QKD983086:QKD983088 QTZ983086:QTZ983088 RDV983086:RDV983088 RNR983086:RNR983088 RXN983086:RXN983088 SHJ983086:SHJ983088 SRF983086:SRF983088 TBB983086:TBB983088 TKX983086:TKX983088 TUT983086:TUT983088 UEP983086:UEP983088 UOL983086:UOL983088 UYH983086:UYH983088 VID983086:VID983088 VRZ983086:VRZ983088 WBV983086:WBV983088 WLR983086:WLR983088 WVN983086:WVN983088 F51 JB51 SX51 ACT51 AMP51 AWL51 BGH51 BQD51 BZZ51 CJV51 CTR51 DDN51 DNJ51 DXF51 EHB51 EQX51 FAT51 FKP51 FUL51 GEH51 GOD51 GXZ51 HHV51 HRR51 IBN51 ILJ51 IVF51 JFB51 JOX51 JYT51 KIP51 KSL51 LCH51 LMD51 LVZ51 MFV51 MPR51 MZN51 NJJ51 NTF51 ODB51 OMX51 OWT51 PGP51 PQL51 QAH51 QKD51 QTZ51 RDV51 RNR51 RXN51 SHJ51 SRF51 TBB51 TKX51 TUT51 UEP51 UOL51 UYH51 VID51 VRZ51 WBV51 WLR51 WVN51 F65587 JB65587 SX65587 ACT65587 AMP65587 AWL65587 BGH65587 BQD65587 BZZ65587 CJV65587 CTR65587 DDN65587 DNJ65587 DXF65587 EHB65587 EQX65587 FAT65587 FKP65587 FUL65587 GEH65587 GOD65587 GXZ65587 HHV65587 HRR65587 IBN65587 ILJ65587 IVF65587 JFB65587 JOX65587 JYT65587 KIP65587 KSL65587 LCH65587 LMD65587 LVZ65587 MFV65587 MPR65587 MZN65587 NJJ65587 NTF65587 ODB65587 OMX65587 OWT65587 PGP65587 PQL65587 QAH65587 QKD65587 QTZ65587 RDV65587 RNR65587 RXN65587 SHJ65587 SRF65587 TBB65587 TKX65587 TUT65587 UEP65587 UOL65587 UYH65587 VID65587 VRZ65587 WBV65587 WLR65587 WVN65587 F131123 JB131123 SX131123 ACT131123 AMP131123 AWL131123 BGH131123 BQD131123 BZZ131123 CJV131123 CTR131123 DDN131123 DNJ131123 DXF131123 EHB131123 EQX131123 FAT131123 FKP131123 FUL131123 GEH131123 GOD131123 GXZ131123 HHV131123 HRR131123 IBN131123 ILJ131123 IVF131123 JFB131123 JOX131123 JYT131123 KIP131123 KSL131123 LCH131123 LMD131123 LVZ131123 MFV131123 MPR131123 MZN131123 NJJ131123 NTF131123 ODB131123 OMX131123 OWT131123 PGP131123 PQL131123 QAH131123 QKD131123 QTZ131123 RDV131123 RNR131123 RXN131123 SHJ131123 SRF131123 TBB131123 TKX131123 TUT131123 UEP131123 UOL131123 UYH131123 VID131123 VRZ131123 WBV131123 WLR131123 WVN131123 F196659 JB196659 SX196659 ACT196659 AMP196659 AWL196659 BGH196659 BQD196659 BZZ196659 CJV196659 CTR196659 DDN196659 DNJ196659 DXF196659 EHB196659 EQX196659 FAT196659 FKP196659 FUL196659 GEH196659 GOD196659 GXZ196659 HHV196659 HRR196659 IBN196659 ILJ196659 IVF196659 JFB196659 JOX196659 JYT196659 KIP196659 KSL196659 LCH196659 LMD196659 LVZ196659 MFV196659 MPR196659 MZN196659 NJJ196659 NTF196659 ODB196659 OMX196659 OWT196659 PGP196659 PQL196659 QAH196659 QKD196659 QTZ196659 RDV196659 RNR196659 RXN196659 SHJ196659 SRF196659 TBB196659 TKX196659 TUT196659 UEP196659 UOL196659 UYH196659 VID196659 VRZ196659 WBV196659 WLR196659 WVN196659 F262195 JB262195 SX262195 ACT262195 AMP262195 AWL262195 BGH262195 BQD262195 BZZ262195 CJV262195 CTR262195 DDN262195 DNJ262195 DXF262195 EHB262195 EQX262195 FAT262195 FKP262195 FUL262195 GEH262195 GOD262195 GXZ262195 HHV262195 HRR262195 IBN262195 ILJ262195 IVF262195 JFB262195 JOX262195 JYT262195 KIP262195 KSL262195 LCH262195 LMD262195 LVZ262195 MFV262195 MPR262195 MZN262195 NJJ262195 NTF262195 ODB262195 OMX262195 OWT262195 PGP262195 PQL262195 QAH262195 QKD262195 QTZ262195 RDV262195 RNR262195 RXN262195 SHJ262195 SRF262195 TBB262195 TKX262195 TUT262195 UEP262195 UOL262195 UYH262195 VID262195 VRZ262195 WBV262195 WLR262195 WVN262195 F327731 JB327731 SX327731 ACT327731 AMP327731 AWL327731 BGH327731 BQD327731 BZZ327731 CJV327731 CTR327731 DDN327731 DNJ327731 DXF327731 EHB327731 EQX327731 FAT327731 FKP327731 FUL327731 GEH327731 GOD327731 GXZ327731 HHV327731 HRR327731 IBN327731 ILJ327731 IVF327731 JFB327731 JOX327731 JYT327731 KIP327731 KSL327731 LCH327731 LMD327731 LVZ327731 MFV327731 MPR327731 MZN327731 NJJ327731 NTF327731 ODB327731 OMX327731 OWT327731 PGP327731 PQL327731 QAH327731 QKD327731 QTZ327731 RDV327731 RNR327731 RXN327731 SHJ327731 SRF327731 TBB327731 TKX327731 TUT327731 UEP327731 UOL327731 UYH327731 VID327731 VRZ327731 WBV327731 WLR327731 WVN327731 F393267 JB393267 SX393267 ACT393267 AMP393267 AWL393267 BGH393267 BQD393267 BZZ393267 CJV393267 CTR393267 DDN393267 DNJ393267 DXF393267 EHB393267 EQX393267 FAT393267 FKP393267 FUL393267 GEH393267 GOD393267 GXZ393267 HHV393267 HRR393267 IBN393267 ILJ393267 IVF393267 JFB393267 JOX393267 JYT393267 KIP393267 KSL393267 LCH393267 LMD393267 LVZ393267 MFV393267 MPR393267 MZN393267 NJJ393267 NTF393267 ODB393267 OMX393267 OWT393267 PGP393267 PQL393267 QAH393267 QKD393267 QTZ393267 RDV393267 RNR393267 RXN393267 SHJ393267 SRF393267 TBB393267 TKX393267 TUT393267 UEP393267 UOL393267 UYH393267 VID393267 VRZ393267 WBV393267 WLR393267 WVN393267 F458803 JB458803 SX458803 ACT458803 AMP458803 AWL458803 BGH458803 BQD458803 BZZ458803 CJV458803 CTR458803 DDN458803 DNJ458803 DXF458803 EHB458803 EQX458803 FAT458803 FKP458803 FUL458803 GEH458803 GOD458803 GXZ458803 HHV458803 HRR458803 IBN458803 ILJ458803 IVF458803 JFB458803 JOX458803 JYT458803 KIP458803 KSL458803 LCH458803 LMD458803 LVZ458803 MFV458803 MPR458803 MZN458803 NJJ458803 NTF458803 ODB458803 OMX458803 OWT458803 PGP458803 PQL458803 QAH458803 QKD458803 QTZ458803 RDV458803 RNR458803 RXN458803 SHJ458803 SRF458803 TBB458803 TKX458803 TUT458803 UEP458803 UOL458803 UYH458803 VID458803 VRZ458803 WBV458803 WLR458803 WVN458803 F524339 JB524339 SX524339 ACT524339 AMP524339 AWL524339 BGH524339 BQD524339 BZZ524339 CJV524339 CTR524339 DDN524339 DNJ524339 DXF524339 EHB524339 EQX524339 FAT524339 FKP524339 FUL524339 GEH524339 GOD524339 GXZ524339 HHV524339 HRR524339 IBN524339 ILJ524339 IVF524339 JFB524339 JOX524339 JYT524339 KIP524339 KSL524339 LCH524339 LMD524339 LVZ524339 MFV524339 MPR524339 MZN524339 NJJ524339 NTF524339 ODB524339 OMX524339 OWT524339 PGP524339 PQL524339 QAH524339 QKD524339 QTZ524339 RDV524339 RNR524339 RXN524339 SHJ524339 SRF524339 TBB524339 TKX524339 TUT524339 UEP524339 UOL524339 UYH524339 VID524339 VRZ524339 WBV524339 WLR524339 WVN524339 F589875 JB589875 SX589875 ACT589875 AMP589875 AWL589875 BGH589875 BQD589875 BZZ589875 CJV589875 CTR589875 DDN589875 DNJ589875 DXF589875 EHB589875 EQX589875 FAT589875 FKP589875 FUL589875 GEH589875 GOD589875 GXZ589875 HHV589875 HRR589875 IBN589875 ILJ589875 IVF589875 JFB589875 JOX589875 JYT589875 KIP589875 KSL589875 LCH589875 LMD589875 LVZ589875 MFV589875 MPR589875 MZN589875 NJJ589875 NTF589875 ODB589875 OMX589875 OWT589875 PGP589875 PQL589875 QAH589875 QKD589875 QTZ589875 RDV589875 RNR589875 RXN589875 SHJ589875 SRF589875 TBB589875 TKX589875 TUT589875 UEP589875 UOL589875 UYH589875 VID589875 VRZ589875 WBV589875 WLR589875 WVN589875 F655411 JB655411 SX655411 ACT655411 AMP655411 AWL655411 BGH655411 BQD655411 BZZ655411 CJV655411 CTR655411 DDN655411 DNJ655411 DXF655411 EHB655411 EQX655411 FAT655411 FKP655411 FUL655411 GEH655411 GOD655411 GXZ655411 HHV655411 HRR655411 IBN655411 ILJ655411 IVF655411 JFB655411 JOX655411 JYT655411 KIP655411 KSL655411 LCH655411 LMD655411 LVZ655411 MFV655411 MPR655411 MZN655411 NJJ655411 NTF655411 ODB655411 OMX655411 OWT655411 PGP655411 PQL655411 QAH655411 QKD655411 QTZ655411 RDV655411 RNR655411 RXN655411 SHJ655411 SRF655411 TBB655411 TKX655411 TUT655411 UEP655411 UOL655411 UYH655411 VID655411 VRZ655411 WBV655411 WLR655411 WVN655411 F720947 JB720947 SX720947 ACT720947 AMP720947 AWL720947 BGH720947 BQD720947 BZZ720947 CJV720947 CTR720947 DDN720947 DNJ720947 DXF720947 EHB720947 EQX720947 FAT720947 FKP720947 FUL720947 GEH720947 GOD720947 GXZ720947 HHV720947 HRR720947 IBN720947 ILJ720947 IVF720947 JFB720947 JOX720947 JYT720947 KIP720947 KSL720947 LCH720947 LMD720947 LVZ720947 MFV720947 MPR720947 MZN720947 NJJ720947 NTF720947 ODB720947 OMX720947 OWT720947 PGP720947 PQL720947 QAH720947 QKD720947 QTZ720947 RDV720947 RNR720947 RXN720947 SHJ720947 SRF720947 TBB720947 TKX720947 TUT720947 UEP720947 UOL720947 UYH720947 VID720947 VRZ720947 WBV720947 WLR720947 WVN720947 F786483 JB786483 SX786483 ACT786483 AMP786483 AWL786483 BGH786483 BQD786483 BZZ786483 CJV786483 CTR786483 DDN786483 DNJ786483 DXF786483 EHB786483 EQX786483 FAT786483 FKP786483 FUL786483 GEH786483 GOD786483 GXZ786483 HHV786483 HRR786483 IBN786483 ILJ786483 IVF786483 JFB786483 JOX786483 JYT786483 KIP786483 KSL786483 LCH786483 LMD786483 LVZ786483 MFV786483 MPR786483 MZN786483 NJJ786483 NTF786483 ODB786483 OMX786483 OWT786483 PGP786483 PQL786483 QAH786483 QKD786483 QTZ786483 RDV786483 RNR786483 RXN786483 SHJ786483 SRF786483 TBB786483 TKX786483 TUT786483 UEP786483 UOL786483 UYH786483 VID786483 VRZ786483 WBV786483 WLR786483 WVN786483 F852019 JB852019 SX852019 ACT852019 AMP852019 AWL852019 BGH852019 BQD852019 BZZ852019 CJV852019 CTR852019 DDN852019 DNJ852019 DXF852019 EHB852019 EQX852019 FAT852019 FKP852019 FUL852019 GEH852019 GOD852019 GXZ852019 HHV852019 HRR852019 IBN852019 ILJ852019 IVF852019 JFB852019 JOX852019 JYT852019 KIP852019 KSL852019 LCH852019 LMD852019 LVZ852019 MFV852019 MPR852019 MZN852019 NJJ852019 NTF852019 ODB852019 OMX852019 OWT852019 PGP852019 PQL852019 QAH852019 QKD852019 QTZ852019 RDV852019 RNR852019 RXN852019 SHJ852019 SRF852019 TBB852019 TKX852019 TUT852019 UEP852019 UOL852019 UYH852019 VID852019 VRZ852019 WBV852019 WLR852019 WVN852019 F917555 JB917555 SX917555 ACT917555 AMP917555 AWL917555 BGH917555 BQD917555 BZZ917555 CJV917555 CTR917555 DDN917555 DNJ917555 DXF917555 EHB917555 EQX917555 FAT917555 FKP917555 FUL917555 GEH917555 GOD917555 GXZ917555 HHV917555 HRR917555 IBN917555 ILJ917555 IVF917555 JFB917555 JOX917555 JYT917555 KIP917555 KSL917555 LCH917555 LMD917555 LVZ917555 MFV917555 MPR917555 MZN917555 NJJ917555 NTF917555 ODB917555 OMX917555 OWT917555 PGP917555 PQL917555 QAH917555 QKD917555 QTZ917555 RDV917555 RNR917555 RXN917555 SHJ917555 SRF917555 TBB917555 TKX917555 TUT917555 UEP917555 UOL917555 UYH917555 VID917555 VRZ917555 WBV917555 WLR917555 WVN917555 F983091 JB983091 SX983091 ACT983091 AMP983091 AWL983091 BGH983091 BQD983091 BZZ983091 CJV983091 CTR983091 DDN983091 DNJ983091 DXF983091 EHB983091 EQX983091 FAT983091 FKP983091 FUL983091 GEH983091 GOD983091 GXZ983091 HHV983091 HRR983091 IBN983091 ILJ983091 IVF983091 JFB983091 JOX983091 JYT983091 KIP983091 KSL983091 LCH983091 LMD983091 LVZ983091 MFV983091 MPR983091 MZN983091 NJJ983091 NTF983091 ODB983091 OMX983091 OWT983091 PGP983091 PQL983091 QAH983091 QKD983091 QTZ983091 RDV983091 RNR983091 RXN983091 SHJ983091 SRF983091 TBB983091 TKX983091 TUT983091 UEP983091 UOL983091 UYH983091 VID983091 VRZ983091 WBV983091 WLR983091 WVN983091 F57:F58 JB57:JB58 SX57:SX58 ACT57:ACT58 AMP57:AMP58 AWL57:AWL58 BGH57:BGH58 BQD57:BQD58 BZZ57:BZZ58 CJV57:CJV58 CTR57:CTR58 DDN57:DDN58 DNJ57:DNJ58 DXF57:DXF58 EHB57:EHB58 EQX57:EQX58 FAT57:FAT58 FKP57:FKP58 FUL57:FUL58 GEH57:GEH58 GOD57:GOD58 GXZ57:GXZ58 HHV57:HHV58 HRR57:HRR58 IBN57:IBN58 ILJ57:ILJ58 IVF57:IVF58 JFB57:JFB58 JOX57:JOX58 JYT57:JYT58 KIP57:KIP58 KSL57:KSL58 LCH57:LCH58 LMD57:LMD58 LVZ57:LVZ58 MFV57:MFV58 MPR57:MPR58 MZN57:MZN58 NJJ57:NJJ58 NTF57:NTF58 ODB57:ODB58 OMX57:OMX58 OWT57:OWT58 PGP57:PGP58 PQL57:PQL58 QAH57:QAH58 QKD57:QKD58 QTZ57:QTZ58 RDV57:RDV58 RNR57:RNR58 RXN57:RXN58 SHJ57:SHJ58 SRF57:SRF58 TBB57:TBB58 TKX57:TKX58 TUT57:TUT58 UEP57:UEP58 UOL57:UOL58 UYH57:UYH58 VID57:VID58 VRZ57:VRZ58 WBV57:WBV58 WLR57:WLR58 WVN57:WVN58 F65593:F65594 JB65593:JB65594 SX65593:SX65594 ACT65593:ACT65594 AMP65593:AMP65594 AWL65593:AWL65594 BGH65593:BGH65594 BQD65593:BQD65594 BZZ65593:BZZ65594 CJV65593:CJV65594 CTR65593:CTR65594 DDN65593:DDN65594 DNJ65593:DNJ65594 DXF65593:DXF65594 EHB65593:EHB65594 EQX65593:EQX65594 FAT65593:FAT65594 FKP65593:FKP65594 FUL65593:FUL65594 GEH65593:GEH65594 GOD65593:GOD65594 GXZ65593:GXZ65594 HHV65593:HHV65594 HRR65593:HRR65594 IBN65593:IBN65594 ILJ65593:ILJ65594 IVF65593:IVF65594 JFB65593:JFB65594 JOX65593:JOX65594 JYT65593:JYT65594 KIP65593:KIP65594 KSL65593:KSL65594 LCH65593:LCH65594 LMD65593:LMD65594 LVZ65593:LVZ65594 MFV65593:MFV65594 MPR65593:MPR65594 MZN65593:MZN65594 NJJ65593:NJJ65594 NTF65593:NTF65594 ODB65593:ODB65594 OMX65593:OMX65594 OWT65593:OWT65594 PGP65593:PGP65594 PQL65593:PQL65594 QAH65593:QAH65594 QKD65593:QKD65594 QTZ65593:QTZ65594 RDV65593:RDV65594 RNR65593:RNR65594 RXN65593:RXN65594 SHJ65593:SHJ65594 SRF65593:SRF65594 TBB65593:TBB65594 TKX65593:TKX65594 TUT65593:TUT65594 UEP65593:UEP65594 UOL65593:UOL65594 UYH65593:UYH65594 VID65593:VID65594 VRZ65593:VRZ65594 WBV65593:WBV65594 WLR65593:WLR65594 WVN65593:WVN65594 F131129:F131130 JB131129:JB131130 SX131129:SX131130 ACT131129:ACT131130 AMP131129:AMP131130 AWL131129:AWL131130 BGH131129:BGH131130 BQD131129:BQD131130 BZZ131129:BZZ131130 CJV131129:CJV131130 CTR131129:CTR131130 DDN131129:DDN131130 DNJ131129:DNJ131130 DXF131129:DXF131130 EHB131129:EHB131130 EQX131129:EQX131130 FAT131129:FAT131130 FKP131129:FKP131130 FUL131129:FUL131130 GEH131129:GEH131130 GOD131129:GOD131130 GXZ131129:GXZ131130 HHV131129:HHV131130 HRR131129:HRR131130 IBN131129:IBN131130 ILJ131129:ILJ131130 IVF131129:IVF131130 JFB131129:JFB131130 JOX131129:JOX131130 JYT131129:JYT131130 KIP131129:KIP131130 KSL131129:KSL131130 LCH131129:LCH131130 LMD131129:LMD131130 LVZ131129:LVZ131130 MFV131129:MFV131130 MPR131129:MPR131130 MZN131129:MZN131130 NJJ131129:NJJ131130 NTF131129:NTF131130 ODB131129:ODB131130 OMX131129:OMX131130 OWT131129:OWT131130 PGP131129:PGP131130 PQL131129:PQL131130 QAH131129:QAH131130 QKD131129:QKD131130 QTZ131129:QTZ131130 RDV131129:RDV131130 RNR131129:RNR131130 RXN131129:RXN131130 SHJ131129:SHJ131130 SRF131129:SRF131130 TBB131129:TBB131130 TKX131129:TKX131130 TUT131129:TUT131130 UEP131129:UEP131130 UOL131129:UOL131130 UYH131129:UYH131130 VID131129:VID131130 VRZ131129:VRZ131130 WBV131129:WBV131130 WLR131129:WLR131130 WVN131129:WVN131130 F196665:F196666 JB196665:JB196666 SX196665:SX196666 ACT196665:ACT196666 AMP196665:AMP196666 AWL196665:AWL196666 BGH196665:BGH196666 BQD196665:BQD196666 BZZ196665:BZZ196666 CJV196665:CJV196666 CTR196665:CTR196666 DDN196665:DDN196666 DNJ196665:DNJ196666 DXF196665:DXF196666 EHB196665:EHB196666 EQX196665:EQX196666 FAT196665:FAT196666 FKP196665:FKP196666 FUL196665:FUL196666 GEH196665:GEH196666 GOD196665:GOD196666 GXZ196665:GXZ196666 HHV196665:HHV196666 HRR196665:HRR196666 IBN196665:IBN196666 ILJ196665:ILJ196666 IVF196665:IVF196666 JFB196665:JFB196666 JOX196665:JOX196666 JYT196665:JYT196666 KIP196665:KIP196666 KSL196665:KSL196666 LCH196665:LCH196666 LMD196665:LMD196666 LVZ196665:LVZ196666 MFV196665:MFV196666 MPR196665:MPR196666 MZN196665:MZN196666 NJJ196665:NJJ196666 NTF196665:NTF196666 ODB196665:ODB196666 OMX196665:OMX196666 OWT196665:OWT196666 PGP196665:PGP196666 PQL196665:PQL196666 QAH196665:QAH196666 QKD196665:QKD196666 QTZ196665:QTZ196666 RDV196665:RDV196666 RNR196665:RNR196666 RXN196665:RXN196666 SHJ196665:SHJ196666 SRF196665:SRF196666 TBB196665:TBB196666 TKX196665:TKX196666 TUT196665:TUT196666 UEP196665:UEP196666 UOL196665:UOL196666 UYH196665:UYH196666 VID196665:VID196666 VRZ196665:VRZ196666 WBV196665:WBV196666 WLR196665:WLR196666 WVN196665:WVN196666 F262201:F262202 JB262201:JB262202 SX262201:SX262202 ACT262201:ACT262202 AMP262201:AMP262202 AWL262201:AWL262202 BGH262201:BGH262202 BQD262201:BQD262202 BZZ262201:BZZ262202 CJV262201:CJV262202 CTR262201:CTR262202 DDN262201:DDN262202 DNJ262201:DNJ262202 DXF262201:DXF262202 EHB262201:EHB262202 EQX262201:EQX262202 FAT262201:FAT262202 FKP262201:FKP262202 FUL262201:FUL262202 GEH262201:GEH262202 GOD262201:GOD262202 GXZ262201:GXZ262202 HHV262201:HHV262202 HRR262201:HRR262202 IBN262201:IBN262202 ILJ262201:ILJ262202 IVF262201:IVF262202 JFB262201:JFB262202 JOX262201:JOX262202 JYT262201:JYT262202 KIP262201:KIP262202 KSL262201:KSL262202 LCH262201:LCH262202 LMD262201:LMD262202 LVZ262201:LVZ262202 MFV262201:MFV262202 MPR262201:MPR262202 MZN262201:MZN262202 NJJ262201:NJJ262202 NTF262201:NTF262202 ODB262201:ODB262202 OMX262201:OMX262202 OWT262201:OWT262202 PGP262201:PGP262202 PQL262201:PQL262202 QAH262201:QAH262202 QKD262201:QKD262202 QTZ262201:QTZ262202 RDV262201:RDV262202 RNR262201:RNR262202 RXN262201:RXN262202 SHJ262201:SHJ262202 SRF262201:SRF262202 TBB262201:TBB262202 TKX262201:TKX262202 TUT262201:TUT262202 UEP262201:UEP262202 UOL262201:UOL262202 UYH262201:UYH262202 VID262201:VID262202 VRZ262201:VRZ262202 WBV262201:WBV262202 WLR262201:WLR262202 WVN262201:WVN262202 F327737:F327738 JB327737:JB327738 SX327737:SX327738 ACT327737:ACT327738 AMP327737:AMP327738 AWL327737:AWL327738 BGH327737:BGH327738 BQD327737:BQD327738 BZZ327737:BZZ327738 CJV327737:CJV327738 CTR327737:CTR327738 DDN327737:DDN327738 DNJ327737:DNJ327738 DXF327737:DXF327738 EHB327737:EHB327738 EQX327737:EQX327738 FAT327737:FAT327738 FKP327737:FKP327738 FUL327737:FUL327738 GEH327737:GEH327738 GOD327737:GOD327738 GXZ327737:GXZ327738 HHV327737:HHV327738 HRR327737:HRR327738 IBN327737:IBN327738 ILJ327737:ILJ327738 IVF327737:IVF327738 JFB327737:JFB327738 JOX327737:JOX327738 JYT327737:JYT327738 KIP327737:KIP327738 KSL327737:KSL327738 LCH327737:LCH327738 LMD327737:LMD327738 LVZ327737:LVZ327738 MFV327737:MFV327738 MPR327737:MPR327738 MZN327737:MZN327738 NJJ327737:NJJ327738 NTF327737:NTF327738 ODB327737:ODB327738 OMX327737:OMX327738 OWT327737:OWT327738 PGP327737:PGP327738 PQL327737:PQL327738 QAH327737:QAH327738 QKD327737:QKD327738 QTZ327737:QTZ327738 RDV327737:RDV327738 RNR327737:RNR327738 RXN327737:RXN327738 SHJ327737:SHJ327738 SRF327737:SRF327738 TBB327737:TBB327738 TKX327737:TKX327738 TUT327737:TUT327738 UEP327737:UEP327738 UOL327737:UOL327738 UYH327737:UYH327738 VID327737:VID327738 VRZ327737:VRZ327738 WBV327737:WBV327738 WLR327737:WLR327738 WVN327737:WVN327738 F393273:F393274 JB393273:JB393274 SX393273:SX393274 ACT393273:ACT393274 AMP393273:AMP393274 AWL393273:AWL393274 BGH393273:BGH393274 BQD393273:BQD393274 BZZ393273:BZZ393274 CJV393273:CJV393274 CTR393273:CTR393274 DDN393273:DDN393274 DNJ393273:DNJ393274 DXF393273:DXF393274 EHB393273:EHB393274 EQX393273:EQX393274 FAT393273:FAT393274 FKP393273:FKP393274 FUL393273:FUL393274 GEH393273:GEH393274 GOD393273:GOD393274 GXZ393273:GXZ393274 HHV393273:HHV393274 HRR393273:HRR393274 IBN393273:IBN393274 ILJ393273:ILJ393274 IVF393273:IVF393274 JFB393273:JFB393274 JOX393273:JOX393274 JYT393273:JYT393274 KIP393273:KIP393274 KSL393273:KSL393274 LCH393273:LCH393274 LMD393273:LMD393274 LVZ393273:LVZ393274 MFV393273:MFV393274 MPR393273:MPR393274 MZN393273:MZN393274 NJJ393273:NJJ393274 NTF393273:NTF393274 ODB393273:ODB393274 OMX393273:OMX393274 OWT393273:OWT393274 PGP393273:PGP393274 PQL393273:PQL393274 QAH393273:QAH393274 QKD393273:QKD393274 QTZ393273:QTZ393274 RDV393273:RDV393274 RNR393273:RNR393274 RXN393273:RXN393274 SHJ393273:SHJ393274 SRF393273:SRF393274 TBB393273:TBB393274 TKX393273:TKX393274 TUT393273:TUT393274 UEP393273:UEP393274 UOL393273:UOL393274 UYH393273:UYH393274 VID393273:VID393274 VRZ393273:VRZ393274 WBV393273:WBV393274 WLR393273:WLR393274 WVN393273:WVN393274 F458809:F458810 JB458809:JB458810 SX458809:SX458810 ACT458809:ACT458810 AMP458809:AMP458810 AWL458809:AWL458810 BGH458809:BGH458810 BQD458809:BQD458810 BZZ458809:BZZ458810 CJV458809:CJV458810 CTR458809:CTR458810 DDN458809:DDN458810 DNJ458809:DNJ458810 DXF458809:DXF458810 EHB458809:EHB458810 EQX458809:EQX458810 FAT458809:FAT458810 FKP458809:FKP458810 FUL458809:FUL458810 GEH458809:GEH458810 GOD458809:GOD458810 GXZ458809:GXZ458810 HHV458809:HHV458810 HRR458809:HRR458810 IBN458809:IBN458810 ILJ458809:ILJ458810 IVF458809:IVF458810 JFB458809:JFB458810 JOX458809:JOX458810 JYT458809:JYT458810 KIP458809:KIP458810 KSL458809:KSL458810 LCH458809:LCH458810 LMD458809:LMD458810 LVZ458809:LVZ458810 MFV458809:MFV458810 MPR458809:MPR458810 MZN458809:MZN458810 NJJ458809:NJJ458810 NTF458809:NTF458810 ODB458809:ODB458810 OMX458809:OMX458810 OWT458809:OWT458810 PGP458809:PGP458810 PQL458809:PQL458810 QAH458809:QAH458810 QKD458809:QKD458810 QTZ458809:QTZ458810 RDV458809:RDV458810 RNR458809:RNR458810 RXN458809:RXN458810 SHJ458809:SHJ458810 SRF458809:SRF458810 TBB458809:TBB458810 TKX458809:TKX458810 TUT458809:TUT458810 UEP458809:UEP458810 UOL458809:UOL458810 UYH458809:UYH458810 VID458809:VID458810 VRZ458809:VRZ458810 WBV458809:WBV458810 WLR458809:WLR458810 WVN458809:WVN458810 F524345:F524346 JB524345:JB524346 SX524345:SX524346 ACT524345:ACT524346 AMP524345:AMP524346 AWL524345:AWL524346 BGH524345:BGH524346 BQD524345:BQD524346 BZZ524345:BZZ524346 CJV524345:CJV524346 CTR524345:CTR524346 DDN524345:DDN524346 DNJ524345:DNJ524346 DXF524345:DXF524346 EHB524345:EHB524346 EQX524345:EQX524346 FAT524345:FAT524346 FKP524345:FKP524346 FUL524345:FUL524346 GEH524345:GEH524346 GOD524345:GOD524346 GXZ524345:GXZ524346 HHV524345:HHV524346 HRR524345:HRR524346 IBN524345:IBN524346 ILJ524345:ILJ524346 IVF524345:IVF524346 JFB524345:JFB524346 JOX524345:JOX524346 JYT524345:JYT524346 KIP524345:KIP524346 KSL524345:KSL524346 LCH524345:LCH524346 LMD524345:LMD524346 LVZ524345:LVZ524346 MFV524345:MFV524346 MPR524345:MPR524346 MZN524345:MZN524346 NJJ524345:NJJ524346 NTF524345:NTF524346 ODB524345:ODB524346 OMX524345:OMX524346 OWT524345:OWT524346 PGP524345:PGP524346 PQL524345:PQL524346 QAH524345:QAH524346 QKD524345:QKD524346 QTZ524345:QTZ524346 RDV524345:RDV524346 RNR524345:RNR524346 RXN524345:RXN524346 SHJ524345:SHJ524346 SRF524345:SRF524346 TBB524345:TBB524346 TKX524345:TKX524346 TUT524345:TUT524346 UEP524345:UEP524346 UOL524345:UOL524346 UYH524345:UYH524346 VID524345:VID524346 VRZ524345:VRZ524346 WBV524345:WBV524346 WLR524345:WLR524346 WVN524345:WVN524346 F589881:F589882 JB589881:JB589882 SX589881:SX589882 ACT589881:ACT589882 AMP589881:AMP589882 AWL589881:AWL589882 BGH589881:BGH589882 BQD589881:BQD589882 BZZ589881:BZZ589882 CJV589881:CJV589882 CTR589881:CTR589882 DDN589881:DDN589882 DNJ589881:DNJ589882 DXF589881:DXF589882 EHB589881:EHB589882 EQX589881:EQX589882 FAT589881:FAT589882 FKP589881:FKP589882 FUL589881:FUL589882 GEH589881:GEH589882 GOD589881:GOD589882 GXZ589881:GXZ589882 HHV589881:HHV589882 HRR589881:HRR589882 IBN589881:IBN589882 ILJ589881:ILJ589882 IVF589881:IVF589882 JFB589881:JFB589882 JOX589881:JOX589882 JYT589881:JYT589882 KIP589881:KIP589882 KSL589881:KSL589882 LCH589881:LCH589882 LMD589881:LMD589882 LVZ589881:LVZ589882 MFV589881:MFV589882 MPR589881:MPR589882 MZN589881:MZN589882 NJJ589881:NJJ589882 NTF589881:NTF589882 ODB589881:ODB589882 OMX589881:OMX589882 OWT589881:OWT589882 PGP589881:PGP589882 PQL589881:PQL589882 QAH589881:QAH589882 QKD589881:QKD589882 QTZ589881:QTZ589882 RDV589881:RDV589882 RNR589881:RNR589882 RXN589881:RXN589882 SHJ589881:SHJ589882 SRF589881:SRF589882 TBB589881:TBB589882 TKX589881:TKX589882 TUT589881:TUT589882 UEP589881:UEP589882 UOL589881:UOL589882 UYH589881:UYH589882 VID589881:VID589882 VRZ589881:VRZ589882 WBV589881:WBV589882 WLR589881:WLR589882 WVN589881:WVN589882 F655417:F655418 JB655417:JB655418 SX655417:SX655418 ACT655417:ACT655418 AMP655417:AMP655418 AWL655417:AWL655418 BGH655417:BGH655418 BQD655417:BQD655418 BZZ655417:BZZ655418 CJV655417:CJV655418 CTR655417:CTR655418 DDN655417:DDN655418 DNJ655417:DNJ655418 DXF655417:DXF655418 EHB655417:EHB655418 EQX655417:EQX655418 FAT655417:FAT655418 FKP655417:FKP655418 FUL655417:FUL655418 GEH655417:GEH655418 GOD655417:GOD655418 GXZ655417:GXZ655418 HHV655417:HHV655418 HRR655417:HRR655418 IBN655417:IBN655418 ILJ655417:ILJ655418 IVF655417:IVF655418 JFB655417:JFB655418 JOX655417:JOX655418 JYT655417:JYT655418 KIP655417:KIP655418 KSL655417:KSL655418 LCH655417:LCH655418 LMD655417:LMD655418 LVZ655417:LVZ655418 MFV655417:MFV655418 MPR655417:MPR655418 MZN655417:MZN655418 NJJ655417:NJJ655418 NTF655417:NTF655418 ODB655417:ODB655418 OMX655417:OMX655418 OWT655417:OWT655418 PGP655417:PGP655418 PQL655417:PQL655418 QAH655417:QAH655418 QKD655417:QKD655418 QTZ655417:QTZ655418 RDV655417:RDV655418 RNR655417:RNR655418 RXN655417:RXN655418 SHJ655417:SHJ655418 SRF655417:SRF655418 TBB655417:TBB655418 TKX655417:TKX655418 TUT655417:TUT655418 UEP655417:UEP655418 UOL655417:UOL655418 UYH655417:UYH655418 VID655417:VID655418 VRZ655417:VRZ655418 WBV655417:WBV655418 WLR655417:WLR655418 WVN655417:WVN655418 F720953:F720954 JB720953:JB720954 SX720953:SX720954 ACT720953:ACT720954 AMP720953:AMP720954 AWL720953:AWL720954 BGH720953:BGH720954 BQD720953:BQD720954 BZZ720953:BZZ720954 CJV720953:CJV720954 CTR720953:CTR720954 DDN720953:DDN720954 DNJ720953:DNJ720954 DXF720953:DXF720954 EHB720953:EHB720954 EQX720953:EQX720954 FAT720953:FAT720954 FKP720953:FKP720954 FUL720953:FUL720954 GEH720953:GEH720954 GOD720953:GOD720954 GXZ720953:GXZ720954 HHV720953:HHV720954 HRR720953:HRR720954 IBN720953:IBN720954 ILJ720953:ILJ720954 IVF720953:IVF720954 JFB720953:JFB720954 JOX720953:JOX720954 JYT720953:JYT720954 KIP720953:KIP720954 KSL720953:KSL720954 LCH720953:LCH720954 LMD720953:LMD720954 LVZ720953:LVZ720954 MFV720953:MFV720954 MPR720953:MPR720954 MZN720953:MZN720954 NJJ720953:NJJ720954 NTF720953:NTF720954 ODB720953:ODB720954 OMX720953:OMX720954 OWT720953:OWT720954 PGP720953:PGP720954 PQL720953:PQL720954 QAH720953:QAH720954 QKD720953:QKD720954 QTZ720953:QTZ720954 RDV720953:RDV720954 RNR720953:RNR720954 RXN720953:RXN720954 SHJ720953:SHJ720954 SRF720953:SRF720954 TBB720953:TBB720954 TKX720953:TKX720954 TUT720953:TUT720954 UEP720953:UEP720954 UOL720953:UOL720954 UYH720953:UYH720954 VID720953:VID720954 VRZ720953:VRZ720954 WBV720953:WBV720954 WLR720953:WLR720954 WVN720953:WVN720954 F786489:F786490 JB786489:JB786490 SX786489:SX786490 ACT786489:ACT786490 AMP786489:AMP786490 AWL786489:AWL786490 BGH786489:BGH786490 BQD786489:BQD786490 BZZ786489:BZZ786490 CJV786489:CJV786490 CTR786489:CTR786490 DDN786489:DDN786490 DNJ786489:DNJ786490 DXF786489:DXF786490 EHB786489:EHB786490 EQX786489:EQX786490 FAT786489:FAT786490 FKP786489:FKP786490 FUL786489:FUL786490 GEH786489:GEH786490 GOD786489:GOD786490 GXZ786489:GXZ786490 HHV786489:HHV786490 HRR786489:HRR786490 IBN786489:IBN786490 ILJ786489:ILJ786490 IVF786489:IVF786490 JFB786489:JFB786490 JOX786489:JOX786490 JYT786489:JYT786490 KIP786489:KIP786490 KSL786489:KSL786490 LCH786489:LCH786490 LMD786489:LMD786490 LVZ786489:LVZ786490 MFV786489:MFV786490 MPR786489:MPR786490 MZN786489:MZN786490 NJJ786489:NJJ786490 NTF786489:NTF786490 ODB786489:ODB786490 OMX786489:OMX786490 OWT786489:OWT786490 PGP786489:PGP786490 PQL786489:PQL786490 QAH786489:QAH786490 QKD786489:QKD786490 QTZ786489:QTZ786490 RDV786489:RDV786490 RNR786489:RNR786490 RXN786489:RXN786490 SHJ786489:SHJ786490 SRF786489:SRF786490 TBB786489:TBB786490 TKX786489:TKX786490 TUT786489:TUT786490 UEP786489:UEP786490 UOL786489:UOL786490 UYH786489:UYH786490 VID786489:VID786490 VRZ786489:VRZ786490 WBV786489:WBV786490 WLR786489:WLR786490 WVN786489:WVN786490 F852025:F852026 JB852025:JB852026 SX852025:SX852026 ACT852025:ACT852026 AMP852025:AMP852026 AWL852025:AWL852026 BGH852025:BGH852026 BQD852025:BQD852026 BZZ852025:BZZ852026 CJV852025:CJV852026 CTR852025:CTR852026 DDN852025:DDN852026 DNJ852025:DNJ852026 DXF852025:DXF852026 EHB852025:EHB852026 EQX852025:EQX852026 FAT852025:FAT852026 FKP852025:FKP852026 FUL852025:FUL852026 GEH852025:GEH852026 GOD852025:GOD852026 GXZ852025:GXZ852026 HHV852025:HHV852026 HRR852025:HRR852026 IBN852025:IBN852026 ILJ852025:ILJ852026 IVF852025:IVF852026 JFB852025:JFB852026 JOX852025:JOX852026 JYT852025:JYT852026 KIP852025:KIP852026 KSL852025:KSL852026 LCH852025:LCH852026 LMD852025:LMD852026 LVZ852025:LVZ852026 MFV852025:MFV852026 MPR852025:MPR852026 MZN852025:MZN852026 NJJ852025:NJJ852026 NTF852025:NTF852026 ODB852025:ODB852026 OMX852025:OMX852026 OWT852025:OWT852026 PGP852025:PGP852026 PQL852025:PQL852026 QAH852025:QAH852026 QKD852025:QKD852026 QTZ852025:QTZ852026 RDV852025:RDV852026 RNR852025:RNR852026 RXN852025:RXN852026 SHJ852025:SHJ852026 SRF852025:SRF852026 TBB852025:TBB852026 TKX852025:TKX852026 TUT852025:TUT852026 UEP852025:UEP852026 UOL852025:UOL852026 UYH852025:UYH852026 VID852025:VID852026 VRZ852025:VRZ852026 WBV852025:WBV852026 WLR852025:WLR852026 WVN852025:WVN852026 F917561:F917562 JB917561:JB917562 SX917561:SX917562 ACT917561:ACT917562 AMP917561:AMP917562 AWL917561:AWL917562 BGH917561:BGH917562 BQD917561:BQD917562 BZZ917561:BZZ917562 CJV917561:CJV917562 CTR917561:CTR917562 DDN917561:DDN917562 DNJ917561:DNJ917562 DXF917561:DXF917562 EHB917561:EHB917562 EQX917561:EQX917562 FAT917561:FAT917562 FKP917561:FKP917562 FUL917561:FUL917562 GEH917561:GEH917562 GOD917561:GOD917562 GXZ917561:GXZ917562 HHV917561:HHV917562 HRR917561:HRR917562 IBN917561:IBN917562 ILJ917561:ILJ917562 IVF917561:IVF917562 JFB917561:JFB917562 JOX917561:JOX917562 JYT917561:JYT917562 KIP917561:KIP917562 KSL917561:KSL917562 LCH917561:LCH917562 LMD917561:LMD917562 LVZ917561:LVZ917562 MFV917561:MFV917562 MPR917561:MPR917562 MZN917561:MZN917562 NJJ917561:NJJ917562 NTF917561:NTF917562 ODB917561:ODB917562 OMX917561:OMX917562 OWT917561:OWT917562 PGP917561:PGP917562 PQL917561:PQL917562 QAH917561:QAH917562 QKD917561:QKD917562 QTZ917561:QTZ917562 RDV917561:RDV917562 RNR917561:RNR917562 RXN917561:RXN917562 SHJ917561:SHJ917562 SRF917561:SRF917562 TBB917561:TBB917562 TKX917561:TKX917562 TUT917561:TUT917562 UEP917561:UEP917562 UOL917561:UOL917562 UYH917561:UYH917562 VID917561:VID917562 VRZ917561:VRZ917562 WBV917561:WBV917562 WLR917561:WLR917562 WVN917561:WVN917562 F983097:F983098 JB983097:JB983098 SX983097:SX983098 ACT983097:ACT983098 AMP983097:AMP983098 AWL983097:AWL983098 BGH983097:BGH983098 BQD983097:BQD983098 BZZ983097:BZZ983098 CJV983097:CJV983098 CTR983097:CTR983098 DDN983097:DDN983098 DNJ983097:DNJ983098 DXF983097:DXF983098 EHB983097:EHB983098 EQX983097:EQX983098 FAT983097:FAT983098 FKP983097:FKP983098 FUL983097:FUL983098 GEH983097:GEH983098 GOD983097:GOD983098 GXZ983097:GXZ983098 HHV983097:HHV983098 HRR983097:HRR983098 IBN983097:IBN983098 ILJ983097:ILJ983098 IVF983097:IVF983098 JFB983097:JFB983098 JOX983097:JOX983098 JYT983097:JYT983098 KIP983097:KIP983098 KSL983097:KSL983098 LCH983097:LCH983098 LMD983097:LMD983098 LVZ983097:LVZ983098 MFV983097:MFV983098 MPR983097:MPR983098 MZN983097:MZN983098 NJJ983097:NJJ983098 NTF983097:NTF983098 ODB983097:ODB983098 OMX983097:OMX983098 OWT983097:OWT983098 PGP983097:PGP983098 PQL983097:PQL983098 QAH983097:QAH983098 QKD983097:QKD983098 QTZ983097:QTZ983098 RDV983097:RDV983098 RNR983097:RNR983098 RXN983097:RXN983098 SHJ983097:SHJ983098 SRF983097:SRF983098 TBB983097:TBB983098 TKX983097:TKX983098 TUT983097:TUT983098 UEP983097:UEP983098 UOL983097:UOL983098 UYH983097:UYH983098 VID983097:VID983098 VRZ983097:VRZ983098 WBV983097:WBV983098 WLR983097:WLR983098 WVN983097:WVN983098 F61:F91 JB61:JB91 SX61:SX91 ACT61:ACT91 AMP61:AMP91 AWL61:AWL91 BGH61:BGH91 BQD61:BQD91 BZZ61:BZZ91 CJV61:CJV91 CTR61:CTR91 DDN61:DDN91 DNJ61:DNJ91 DXF61:DXF91 EHB61:EHB91 EQX61:EQX91 FAT61:FAT91 FKP61:FKP91 FUL61:FUL91 GEH61:GEH91 GOD61:GOD91 GXZ61:GXZ91 HHV61:HHV91 HRR61:HRR91 IBN61:IBN91 ILJ61:ILJ91 IVF61:IVF91 JFB61:JFB91 JOX61:JOX91 JYT61:JYT91 KIP61:KIP91 KSL61:KSL91 LCH61:LCH91 LMD61:LMD91 LVZ61:LVZ91 MFV61:MFV91 MPR61:MPR91 MZN61:MZN91 NJJ61:NJJ91 NTF61:NTF91 ODB61:ODB91 OMX61:OMX91 OWT61:OWT91 PGP61:PGP91 PQL61:PQL91 QAH61:QAH91 QKD61:QKD91 QTZ61:QTZ91 RDV61:RDV91 RNR61:RNR91 RXN61:RXN91 SHJ61:SHJ91 SRF61:SRF91 TBB61:TBB91 TKX61:TKX91 TUT61:TUT91 UEP61:UEP91 UOL61:UOL91 UYH61:UYH91 VID61:VID91 VRZ61:VRZ91 WBV61:WBV91 WLR61:WLR91 WVN61:WVN91 F65597:F65627 JB65597:JB65627 SX65597:SX65627 ACT65597:ACT65627 AMP65597:AMP65627 AWL65597:AWL65627 BGH65597:BGH65627 BQD65597:BQD65627 BZZ65597:BZZ65627 CJV65597:CJV65627 CTR65597:CTR65627 DDN65597:DDN65627 DNJ65597:DNJ65627 DXF65597:DXF65627 EHB65597:EHB65627 EQX65597:EQX65627 FAT65597:FAT65627 FKP65597:FKP65627 FUL65597:FUL65627 GEH65597:GEH65627 GOD65597:GOD65627 GXZ65597:GXZ65627 HHV65597:HHV65627 HRR65597:HRR65627 IBN65597:IBN65627 ILJ65597:ILJ65627 IVF65597:IVF65627 JFB65597:JFB65627 JOX65597:JOX65627 JYT65597:JYT65627 KIP65597:KIP65627 KSL65597:KSL65627 LCH65597:LCH65627 LMD65597:LMD65627 LVZ65597:LVZ65627 MFV65597:MFV65627 MPR65597:MPR65627 MZN65597:MZN65627 NJJ65597:NJJ65627 NTF65597:NTF65627 ODB65597:ODB65627 OMX65597:OMX65627 OWT65597:OWT65627 PGP65597:PGP65627 PQL65597:PQL65627 QAH65597:QAH65627 QKD65597:QKD65627 QTZ65597:QTZ65627 RDV65597:RDV65627 RNR65597:RNR65627 RXN65597:RXN65627 SHJ65597:SHJ65627 SRF65597:SRF65627 TBB65597:TBB65627 TKX65597:TKX65627 TUT65597:TUT65627 UEP65597:UEP65627 UOL65597:UOL65627 UYH65597:UYH65627 VID65597:VID65627 VRZ65597:VRZ65627 WBV65597:WBV65627 WLR65597:WLR65627 WVN65597:WVN65627 F131133:F131163 JB131133:JB131163 SX131133:SX131163 ACT131133:ACT131163 AMP131133:AMP131163 AWL131133:AWL131163 BGH131133:BGH131163 BQD131133:BQD131163 BZZ131133:BZZ131163 CJV131133:CJV131163 CTR131133:CTR131163 DDN131133:DDN131163 DNJ131133:DNJ131163 DXF131133:DXF131163 EHB131133:EHB131163 EQX131133:EQX131163 FAT131133:FAT131163 FKP131133:FKP131163 FUL131133:FUL131163 GEH131133:GEH131163 GOD131133:GOD131163 GXZ131133:GXZ131163 HHV131133:HHV131163 HRR131133:HRR131163 IBN131133:IBN131163 ILJ131133:ILJ131163 IVF131133:IVF131163 JFB131133:JFB131163 JOX131133:JOX131163 JYT131133:JYT131163 KIP131133:KIP131163 KSL131133:KSL131163 LCH131133:LCH131163 LMD131133:LMD131163 LVZ131133:LVZ131163 MFV131133:MFV131163 MPR131133:MPR131163 MZN131133:MZN131163 NJJ131133:NJJ131163 NTF131133:NTF131163 ODB131133:ODB131163 OMX131133:OMX131163 OWT131133:OWT131163 PGP131133:PGP131163 PQL131133:PQL131163 QAH131133:QAH131163 QKD131133:QKD131163 QTZ131133:QTZ131163 RDV131133:RDV131163 RNR131133:RNR131163 RXN131133:RXN131163 SHJ131133:SHJ131163 SRF131133:SRF131163 TBB131133:TBB131163 TKX131133:TKX131163 TUT131133:TUT131163 UEP131133:UEP131163 UOL131133:UOL131163 UYH131133:UYH131163 VID131133:VID131163 VRZ131133:VRZ131163 WBV131133:WBV131163 WLR131133:WLR131163 WVN131133:WVN131163 F196669:F196699 JB196669:JB196699 SX196669:SX196699 ACT196669:ACT196699 AMP196669:AMP196699 AWL196669:AWL196699 BGH196669:BGH196699 BQD196669:BQD196699 BZZ196669:BZZ196699 CJV196669:CJV196699 CTR196669:CTR196699 DDN196669:DDN196699 DNJ196669:DNJ196699 DXF196669:DXF196699 EHB196669:EHB196699 EQX196669:EQX196699 FAT196669:FAT196699 FKP196669:FKP196699 FUL196669:FUL196699 GEH196669:GEH196699 GOD196669:GOD196699 GXZ196669:GXZ196699 HHV196669:HHV196699 HRR196669:HRR196699 IBN196669:IBN196699 ILJ196669:ILJ196699 IVF196669:IVF196699 JFB196669:JFB196699 JOX196669:JOX196699 JYT196669:JYT196699 KIP196669:KIP196699 KSL196669:KSL196699 LCH196669:LCH196699 LMD196669:LMD196699 LVZ196669:LVZ196699 MFV196669:MFV196699 MPR196669:MPR196699 MZN196669:MZN196699 NJJ196669:NJJ196699 NTF196669:NTF196699 ODB196669:ODB196699 OMX196669:OMX196699 OWT196669:OWT196699 PGP196669:PGP196699 PQL196669:PQL196699 QAH196669:QAH196699 QKD196669:QKD196699 QTZ196669:QTZ196699 RDV196669:RDV196699 RNR196669:RNR196699 RXN196669:RXN196699 SHJ196669:SHJ196699 SRF196669:SRF196699 TBB196669:TBB196699 TKX196669:TKX196699 TUT196669:TUT196699 UEP196669:UEP196699 UOL196669:UOL196699 UYH196669:UYH196699 VID196669:VID196699 VRZ196669:VRZ196699 WBV196669:WBV196699 WLR196669:WLR196699 WVN196669:WVN196699 F262205:F262235 JB262205:JB262235 SX262205:SX262235 ACT262205:ACT262235 AMP262205:AMP262235 AWL262205:AWL262235 BGH262205:BGH262235 BQD262205:BQD262235 BZZ262205:BZZ262235 CJV262205:CJV262235 CTR262205:CTR262235 DDN262205:DDN262235 DNJ262205:DNJ262235 DXF262205:DXF262235 EHB262205:EHB262235 EQX262205:EQX262235 FAT262205:FAT262235 FKP262205:FKP262235 FUL262205:FUL262235 GEH262205:GEH262235 GOD262205:GOD262235 GXZ262205:GXZ262235 HHV262205:HHV262235 HRR262205:HRR262235 IBN262205:IBN262235 ILJ262205:ILJ262235 IVF262205:IVF262235 JFB262205:JFB262235 JOX262205:JOX262235 JYT262205:JYT262235 KIP262205:KIP262235 KSL262205:KSL262235 LCH262205:LCH262235 LMD262205:LMD262235 LVZ262205:LVZ262235 MFV262205:MFV262235 MPR262205:MPR262235 MZN262205:MZN262235 NJJ262205:NJJ262235 NTF262205:NTF262235 ODB262205:ODB262235 OMX262205:OMX262235 OWT262205:OWT262235 PGP262205:PGP262235 PQL262205:PQL262235 QAH262205:QAH262235 QKD262205:QKD262235 QTZ262205:QTZ262235 RDV262205:RDV262235 RNR262205:RNR262235 RXN262205:RXN262235 SHJ262205:SHJ262235 SRF262205:SRF262235 TBB262205:TBB262235 TKX262205:TKX262235 TUT262205:TUT262235 UEP262205:UEP262235 UOL262205:UOL262235 UYH262205:UYH262235 VID262205:VID262235 VRZ262205:VRZ262235 WBV262205:WBV262235 WLR262205:WLR262235 WVN262205:WVN262235 F327741:F327771 JB327741:JB327771 SX327741:SX327771 ACT327741:ACT327771 AMP327741:AMP327771 AWL327741:AWL327771 BGH327741:BGH327771 BQD327741:BQD327771 BZZ327741:BZZ327771 CJV327741:CJV327771 CTR327741:CTR327771 DDN327741:DDN327771 DNJ327741:DNJ327771 DXF327741:DXF327771 EHB327741:EHB327771 EQX327741:EQX327771 FAT327741:FAT327771 FKP327741:FKP327771 FUL327741:FUL327771 GEH327741:GEH327771 GOD327741:GOD327771 GXZ327741:GXZ327771 HHV327741:HHV327771 HRR327741:HRR327771 IBN327741:IBN327771 ILJ327741:ILJ327771 IVF327741:IVF327771 JFB327741:JFB327771 JOX327741:JOX327771 JYT327741:JYT327771 KIP327741:KIP327771 KSL327741:KSL327771 LCH327741:LCH327771 LMD327741:LMD327771 LVZ327741:LVZ327771 MFV327741:MFV327771 MPR327741:MPR327771 MZN327741:MZN327771 NJJ327741:NJJ327771 NTF327741:NTF327771 ODB327741:ODB327771 OMX327741:OMX327771 OWT327741:OWT327771 PGP327741:PGP327771 PQL327741:PQL327771 QAH327741:QAH327771 QKD327741:QKD327771 QTZ327741:QTZ327771 RDV327741:RDV327771 RNR327741:RNR327771 RXN327741:RXN327771 SHJ327741:SHJ327771 SRF327741:SRF327771 TBB327741:TBB327771 TKX327741:TKX327771 TUT327741:TUT327771 UEP327741:UEP327771 UOL327741:UOL327771 UYH327741:UYH327771 VID327741:VID327771 VRZ327741:VRZ327771 WBV327741:WBV327771 WLR327741:WLR327771 WVN327741:WVN327771 F393277:F393307 JB393277:JB393307 SX393277:SX393307 ACT393277:ACT393307 AMP393277:AMP393307 AWL393277:AWL393307 BGH393277:BGH393307 BQD393277:BQD393307 BZZ393277:BZZ393307 CJV393277:CJV393307 CTR393277:CTR393307 DDN393277:DDN393307 DNJ393277:DNJ393307 DXF393277:DXF393307 EHB393277:EHB393307 EQX393277:EQX393307 FAT393277:FAT393307 FKP393277:FKP393307 FUL393277:FUL393307 GEH393277:GEH393307 GOD393277:GOD393307 GXZ393277:GXZ393307 HHV393277:HHV393307 HRR393277:HRR393307 IBN393277:IBN393307 ILJ393277:ILJ393307 IVF393277:IVF393307 JFB393277:JFB393307 JOX393277:JOX393307 JYT393277:JYT393307 KIP393277:KIP393307 KSL393277:KSL393307 LCH393277:LCH393307 LMD393277:LMD393307 LVZ393277:LVZ393307 MFV393277:MFV393307 MPR393277:MPR393307 MZN393277:MZN393307 NJJ393277:NJJ393307 NTF393277:NTF393307 ODB393277:ODB393307 OMX393277:OMX393307 OWT393277:OWT393307 PGP393277:PGP393307 PQL393277:PQL393307 QAH393277:QAH393307 QKD393277:QKD393307 QTZ393277:QTZ393307 RDV393277:RDV393307 RNR393277:RNR393307 RXN393277:RXN393307 SHJ393277:SHJ393307 SRF393277:SRF393307 TBB393277:TBB393307 TKX393277:TKX393307 TUT393277:TUT393307 UEP393277:UEP393307 UOL393277:UOL393307 UYH393277:UYH393307 VID393277:VID393307 VRZ393277:VRZ393307 WBV393277:WBV393307 WLR393277:WLR393307 WVN393277:WVN393307 F458813:F458843 JB458813:JB458843 SX458813:SX458843 ACT458813:ACT458843 AMP458813:AMP458843 AWL458813:AWL458843 BGH458813:BGH458843 BQD458813:BQD458843 BZZ458813:BZZ458843 CJV458813:CJV458843 CTR458813:CTR458843 DDN458813:DDN458843 DNJ458813:DNJ458843 DXF458813:DXF458843 EHB458813:EHB458843 EQX458813:EQX458843 FAT458813:FAT458843 FKP458813:FKP458843 FUL458813:FUL458843 GEH458813:GEH458843 GOD458813:GOD458843 GXZ458813:GXZ458843 HHV458813:HHV458843 HRR458813:HRR458843 IBN458813:IBN458843 ILJ458813:ILJ458843 IVF458813:IVF458843 JFB458813:JFB458843 JOX458813:JOX458843 JYT458813:JYT458843 KIP458813:KIP458843 KSL458813:KSL458843 LCH458813:LCH458843 LMD458813:LMD458843 LVZ458813:LVZ458843 MFV458813:MFV458843 MPR458813:MPR458843 MZN458813:MZN458843 NJJ458813:NJJ458843 NTF458813:NTF458843 ODB458813:ODB458843 OMX458813:OMX458843 OWT458813:OWT458843 PGP458813:PGP458843 PQL458813:PQL458843 QAH458813:QAH458843 QKD458813:QKD458843 QTZ458813:QTZ458843 RDV458813:RDV458843 RNR458813:RNR458843 RXN458813:RXN458843 SHJ458813:SHJ458843 SRF458813:SRF458843 TBB458813:TBB458843 TKX458813:TKX458843 TUT458813:TUT458843 UEP458813:UEP458843 UOL458813:UOL458843 UYH458813:UYH458843 VID458813:VID458843 VRZ458813:VRZ458843 WBV458813:WBV458843 WLR458813:WLR458843 WVN458813:WVN458843 F524349:F524379 JB524349:JB524379 SX524349:SX524379 ACT524349:ACT524379 AMP524349:AMP524379 AWL524349:AWL524379 BGH524349:BGH524379 BQD524349:BQD524379 BZZ524349:BZZ524379 CJV524349:CJV524379 CTR524349:CTR524379 DDN524349:DDN524379 DNJ524349:DNJ524379 DXF524349:DXF524379 EHB524349:EHB524379 EQX524349:EQX524379 FAT524349:FAT524379 FKP524349:FKP524379 FUL524349:FUL524379 GEH524349:GEH524379 GOD524349:GOD524379 GXZ524349:GXZ524379 HHV524349:HHV524379 HRR524349:HRR524379 IBN524349:IBN524379 ILJ524349:ILJ524379 IVF524349:IVF524379 JFB524349:JFB524379 JOX524349:JOX524379 JYT524349:JYT524379 KIP524349:KIP524379 KSL524349:KSL524379 LCH524349:LCH524379 LMD524349:LMD524379 LVZ524349:LVZ524379 MFV524349:MFV524379 MPR524349:MPR524379 MZN524349:MZN524379 NJJ524349:NJJ524379 NTF524349:NTF524379 ODB524349:ODB524379 OMX524349:OMX524379 OWT524349:OWT524379 PGP524349:PGP524379 PQL524349:PQL524379 QAH524349:QAH524379 QKD524349:QKD524379 QTZ524349:QTZ524379 RDV524349:RDV524379 RNR524349:RNR524379 RXN524349:RXN524379 SHJ524349:SHJ524379 SRF524349:SRF524379 TBB524349:TBB524379 TKX524349:TKX524379 TUT524349:TUT524379 UEP524349:UEP524379 UOL524349:UOL524379 UYH524349:UYH524379 VID524349:VID524379 VRZ524349:VRZ524379 WBV524349:WBV524379 WLR524349:WLR524379 WVN524349:WVN524379 F589885:F589915 JB589885:JB589915 SX589885:SX589915 ACT589885:ACT589915 AMP589885:AMP589915 AWL589885:AWL589915 BGH589885:BGH589915 BQD589885:BQD589915 BZZ589885:BZZ589915 CJV589885:CJV589915 CTR589885:CTR589915 DDN589885:DDN589915 DNJ589885:DNJ589915 DXF589885:DXF589915 EHB589885:EHB589915 EQX589885:EQX589915 FAT589885:FAT589915 FKP589885:FKP589915 FUL589885:FUL589915 GEH589885:GEH589915 GOD589885:GOD589915 GXZ589885:GXZ589915 HHV589885:HHV589915 HRR589885:HRR589915 IBN589885:IBN589915 ILJ589885:ILJ589915 IVF589885:IVF589915 JFB589885:JFB589915 JOX589885:JOX589915 JYT589885:JYT589915 KIP589885:KIP589915 KSL589885:KSL589915 LCH589885:LCH589915 LMD589885:LMD589915 LVZ589885:LVZ589915 MFV589885:MFV589915 MPR589885:MPR589915 MZN589885:MZN589915 NJJ589885:NJJ589915 NTF589885:NTF589915 ODB589885:ODB589915 OMX589885:OMX589915 OWT589885:OWT589915 PGP589885:PGP589915 PQL589885:PQL589915 QAH589885:QAH589915 QKD589885:QKD589915 QTZ589885:QTZ589915 RDV589885:RDV589915 RNR589885:RNR589915 RXN589885:RXN589915 SHJ589885:SHJ589915 SRF589885:SRF589915 TBB589885:TBB589915 TKX589885:TKX589915 TUT589885:TUT589915 UEP589885:UEP589915 UOL589885:UOL589915 UYH589885:UYH589915 VID589885:VID589915 VRZ589885:VRZ589915 WBV589885:WBV589915 WLR589885:WLR589915 WVN589885:WVN589915 F655421:F655451 JB655421:JB655451 SX655421:SX655451 ACT655421:ACT655451 AMP655421:AMP655451 AWL655421:AWL655451 BGH655421:BGH655451 BQD655421:BQD655451 BZZ655421:BZZ655451 CJV655421:CJV655451 CTR655421:CTR655451 DDN655421:DDN655451 DNJ655421:DNJ655451 DXF655421:DXF655451 EHB655421:EHB655451 EQX655421:EQX655451 FAT655421:FAT655451 FKP655421:FKP655451 FUL655421:FUL655451 GEH655421:GEH655451 GOD655421:GOD655451 GXZ655421:GXZ655451 HHV655421:HHV655451 HRR655421:HRR655451 IBN655421:IBN655451 ILJ655421:ILJ655451 IVF655421:IVF655451 JFB655421:JFB655451 JOX655421:JOX655451 JYT655421:JYT655451 KIP655421:KIP655451 KSL655421:KSL655451 LCH655421:LCH655451 LMD655421:LMD655451 LVZ655421:LVZ655451 MFV655421:MFV655451 MPR655421:MPR655451 MZN655421:MZN655451 NJJ655421:NJJ655451 NTF655421:NTF655451 ODB655421:ODB655451 OMX655421:OMX655451 OWT655421:OWT655451 PGP655421:PGP655451 PQL655421:PQL655451 QAH655421:QAH655451 QKD655421:QKD655451 QTZ655421:QTZ655451 RDV655421:RDV655451 RNR655421:RNR655451 RXN655421:RXN655451 SHJ655421:SHJ655451 SRF655421:SRF655451 TBB655421:TBB655451 TKX655421:TKX655451 TUT655421:TUT655451 UEP655421:UEP655451 UOL655421:UOL655451 UYH655421:UYH655451 VID655421:VID655451 VRZ655421:VRZ655451 WBV655421:WBV655451 WLR655421:WLR655451 WVN655421:WVN655451 F720957:F720987 JB720957:JB720987 SX720957:SX720987 ACT720957:ACT720987 AMP720957:AMP720987 AWL720957:AWL720987 BGH720957:BGH720987 BQD720957:BQD720987 BZZ720957:BZZ720987 CJV720957:CJV720987 CTR720957:CTR720987 DDN720957:DDN720987 DNJ720957:DNJ720987 DXF720957:DXF720987 EHB720957:EHB720987 EQX720957:EQX720987 FAT720957:FAT720987 FKP720957:FKP720987 FUL720957:FUL720987 GEH720957:GEH720987 GOD720957:GOD720987 GXZ720957:GXZ720987 HHV720957:HHV720987 HRR720957:HRR720987 IBN720957:IBN720987 ILJ720957:ILJ720987 IVF720957:IVF720987 JFB720957:JFB720987 JOX720957:JOX720987 JYT720957:JYT720987 KIP720957:KIP720987 KSL720957:KSL720987 LCH720957:LCH720987 LMD720957:LMD720987 LVZ720957:LVZ720987 MFV720957:MFV720987 MPR720957:MPR720987 MZN720957:MZN720987 NJJ720957:NJJ720987 NTF720957:NTF720987 ODB720957:ODB720987 OMX720957:OMX720987 OWT720957:OWT720987 PGP720957:PGP720987 PQL720957:PQL720987 QAH720957:QAH720987 QKD720957:QKD720987 QTZ720957:QTZ720987 RDV720957:RDV720987 RNR720957:RNR720987 RXN720957:RXN720987 SHJ720957:SHJ720987 SRF720957:SRF720987 TBB720957:TBB720987 TKX720957:TKX720987 TUT720957:TUT720987 UEP720957:UEP720987 UOL720957:UOL720987 UYH720957:UYH720987 VID720957:VID720987 VRZ720957:VRZ720987 WBV720957:WBV720987 WLR720957:WLR720987 WVN720957:WVN720987 F786493:F786523 JB786493:JB786523 SX786493:SX786523 ACT786493:ACT786523 AMP786493:AMP786523 AWL786493:AWL786523 BGH786493:BGH786523 BQD786493:BQD786523 BZZ786493:BZZ786523 CJV786493:CJV786523 CTR786493:CTR786523 DDN786493:DDN786523 DNJ786493:DNJ786523 DXF786493:DXF786523 EHB786493:EHB786523 EQX786493:EQX786523 FAT786493:FAT786523 FKP786493:FKP786523 FUL786493:FUL786523 GEH786493:GEH786523 GOD786493:GOD786523 GXZ786493:GXZ786523 HHV786493:HHV786523 HRR786493:HRR786523 IBN786493:IBN786523 ILJ786493:ILJ786523 IVF786493:IVF786523 JFB786493:JFB786523 JOX786493:JOX786523 JYT786493:JYT786523 KIP786493:KIP786523 KSL786493:KSL786523 LCH786493:LCH786523 LMD786493:LMD786523 LVZ786493:LVZ786523 MFV786493:MFV786523 MPR786493:MPR786523 MZN786493:MZN786523 NJJ786493:NJJ786523 NTF786493:NTF786523 ODB786493:ODB786523 OMX786493:OMX786523 OWT786493:OWT786523 PGP786493:PGP786523 PQL786493:PQL786523 QAH786493:QAH786523 QKD786493:QKD786523 QTZ786493:QTZ786523 RDV786493:RDV786523 RNR786493:RNR786523 RXN786493:RXN786523 SHJ786493:SHJ786523 SRF786493:SRF786523 TBB786493:TBB786523 TKX786493:TKX786523 TUT786493:TUT786523 UEP786493:UEP786523 UOL786493:UOL786523 UYH786493:UYH786523 VID786493:VID786523 VRZ786493:VRZ786523 WBV786493:WBV786523 WLR786493:WLR786523 WVN786493:WVN786523 F852029:F852059 JB852029:JB852059 SX852029:SX852059 ACT852029:ACT852059 AMP852029:AMP852059 AWL852029:AWL852059 BGH852029:BGH852059 BQD852029:BQD852059 BZZ852029:BZZ852059 CJV852029:CJV852059 CTR852029:CTR852059 DDN852029:DDN852059 DNJ852029:DNJ852059 DXF852029:DXF852059 EHB852029:EHB852059 EQX852029:EQX852059 FAT852029:FAT852059 FKP852029:FKP852059 FUL852029:FUL852059 GEH852029:GEH852059 GOD852029:GOD852059 GXZ852029:GXZ852059 HHV852029:HHV852059 HRR852029:HRR852059 IBN852029:IBN852059 ILJ852029:ILJ852059 IVF852029:IVF852059 JFB852029:JFB852059 JOX852029:JOX852059 JYT852029:JYT852059 KIP852029:KIP852059 KSL852029:KSL852059 LCH852029:LCH852059 LMD852029:LMD852059 LVZ852029:LVZ852059 MFV852029:MFV852059 MPR852029:MPR852059 MZN852029:MZN852059 NJJ852029:NJJ852059 NTF852029:NTF852059 ODB852029:ODB852059 OMX852029:OMX852059 OWT852029:OWT852059 PGP852029:PGP852059 PQL852029:PQL852059 QAH852029:QAH852059 QKD852029:QKD852059 QTZ852029:QTZ852059 RDV852029:RDV852059 RNR852029:RNR852059 RXN852029:RXN852059 SHJ852029:SHJ852059 SRF852029:SRF852059 TBB852029:TBB852059 TKX852029:TKX852059 TUT852029:TUT852059 UEP852029:UEP852059 UOL852029:UOL852059 UYH852029:UYH852059 VID852029:VID852059 VRZ852029:VRZ852059 WBV852029:WBV852059 WLR852029:WLR852059 WVN852029:WVN852059 F917565:F917595 JB917565:JB917595 SX917565:SX917595 ACT917565:ACT917595 AMP917565:AMP917595 AWL917565:AWL917595 BGH917565:BGH917595 BQD917565:BQD917595 BZZ917565:BZZ917595 CJV917565:CJV917595 CTR917565:CTR917595 DDN917565:DDN917595 DNJ917565:DNJ917595 DXF917565:DXF917595 EHB917565:EHB917595 EQX917565:EQX917595 FAT917565:FAT917595 FKP917565:FKP917595 FUL917565:FUL917595 GEH917565:GEH917595 GOD917565:GOD917595 GXZ917565:GXZ917595 HHV917565:HHV917595 HRR917565:HRR917595 IBN917565:IBN917595 ILJ917565:ILJ917595 IVF917565:IVF917595 JFB917565:JFB917595 JOX917565:JOX917595 JYT917565:JYT917595 KIP917565:KIP917595 KSL917565:KSL917595 LCH917565:LCH917595 LMD917565:LMD917595 LVZ917565:LVZ917595 MFV917565:MFV917595 MPR917565:MPR917595 MZN917565:MZN917595 NJJ917565:NJJ917595 NTF917565:NTF917595 ODB917565:ODB917595 OMX917565:OMX917595 OWT917565:OWT917595 PGP917565:PGP917595 PQL917565:PQL917595 QAH917565:QAH917595 QKD917565:QKD917595 QTZ917565:QTZ917595 RDV917565:RDV917595 RNR917565:RNR917595 RXN917565:RXN917595 SHJ917565:SHJ917595 SRF917565:SRF917595 TBB917565:TBB917595 TKX917565:TKX917595 TUT917565:TUT917595 UEP917565:UEP917595 UOL917565:UOL917595 UYH917565:UYH917595 VID917565:VID917595 VRZ917565:VRZ917595 WBV917565:WBV917595 WLR917565:WLR917595 WVN917565:WVN917595 F983101:F983131 JB983101:JB983131 SX983101:SX983131 ACT983101:ACT983131 AMP983101:AMP983131 AWL983101:AWL983131 BGH983101:BGH983131 BQD983101:BQD983131 BZZ983101:BZZ983131 CJV983101:CJV983131 CTR983101:CTR983131 DDN983101:DDN983131 DNJ983101:DNJ983131 DXF983101:DXF983131 EHB983101:EHB983131 EQX983101:EQX983131 FAT983101:FAT983131 FKP983101:FKP983131 FUL983101:FUL983131 GEH983101:GEH983131 GOD983101:GOD983131 GXZ983101:GXZ983131 HHV983101:HHV983131 HRR983101:HRR983131 IBN983101:IBN983131 ILJ983101:ILJ983131 IVF983101:IVF983131 JFB983101:JFB983131 JOX983101:JOX983131 JYT983101:JYT983131 KIP983101:KIP983131 KSL983101:KSL983131 LCH983101:LCH983131 LMD983101:LMD983131 LVZ983101:LVZ983131 MFV983101:MFV983131 MPR983101:MPR983131 MZN983101:MZN983131 NJJ983101:NJJ983131 NTF983101:NTF983131 ODB983101:ODB983131 OMX983101:OMX983131 OWT983101:OWT983131 PGP983101:PGP983131 PQL983101:PQL983131 QAH983101:QAH983131 QKD983101:QKD983131 QTZ983101:QTZ983131 RDV983101:RDV983131 RNR983101:RNR983131 RXN983101:RXN983131 SHJ983101:SHJ983131 SRF983101:SRF983131 TBB983101:TBB983131 TKX983101:TKX983131 TUT983101:TUT983131 UEP983101:UEP983131 UOL983101:UOL983131 UYH983101:UYH983131 VID983101:VID983131 VRZ983101:VRZ983131 WBV983101:WBV983131 WLR983101:WLR983131 WVN983101:WVN983131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AFBE6-B93F-47DF-A40D-B7C361D46E6B}">
  <sheetPr>
    <tabColor rgb="FFFFFF00"/>
  </sheetPr>
  <dimension ref="B1:I30"/>
  <sheetViews>
    <sheetView zoomScaleNormal="100" zoomScaleSheetLayoutView="100" workbookViewId="0">
      <selection activeCell="D31" sqref="D31"/>
    </sheetView>
  </sheetViews>
  <sheetFormatPr baseColWidth="10" defaultRowHeight="12.75" x14ac:dyDescent="0.2"/>
  <cols>
    <col min="1" max="1" width="4.140625" style="136" customWidth="1"/>
    <col min="2" max="2" width="32.140625" style="136" customWidth="1"/>
    <col min="3" max="3" width="11" style="136" customWidth="1"/>
    <col min="4" max="4" width="16.85546875" style="136" customWidth="1"/>
    <col min="5" max="5" width="12.7109375" style="136" customWidth="1"/>
    <col min="6" max="6" width="13" style="136" customWidth="1"/>
    <col min="7" max="7" width="12.42578125" style="136" customWidth="1"/>
    <col min="8" max="8" width="3.140625" style="136" customWidth="1"/>
    <col min="9" max="256" width="11.42578125" style="136"/>
    <col min="257" max="257" width="4.140625" style="136" customWidth="1"/>
    <col min="258" max="258" width="32.140625" style="136" customWidth="1"/>
    <col min="259" max="259" width="16.140625" style="136" customWidth="1"/>
    <col min="260" max="260" width="16.85546875" style="136" customWidth="1"/>
    <col min="261" max="262" width="24.28515625" style="136" bestFit="1" customWidth="1"/>
    <col min="263" max="263" width="20.28515625" style="136" bestFit="1" customWidth="1"/>
    <col min="264" max="264" width="3.140625" style="136" customWidth="1"/>
    <col min="265" max="512" width="11.42578125" style="136"/>
    <col min="513" max="513" width="4.140625" style="136" customWidth="1"/>
    <col min="514" max="514" width="32.140625" style="136" customWidth="1"/>
    <col min="515" max="515" width="16.140625" style="136" customWidth="1"/>
    <col min="516" max="516" width="16.85546875" style="136" customWidth="1"/>
    <col min="517" max="518" width="24.28515625" style="136" bestFit="1" customWidth="1"/>
    <col min="519" max="519" width="20.28515625" style="136" bestFit="1" customWidth="1"/>
    <col min="520" max="520" width="3.140625" style="136" customWidth="1"/>
    <col min="521" max="768" width="11.42578125" style="136"/>
    <col min="769" max="769" width="4.140625" style="136" customWidth="1"/>
    <col min="770" max="770" width="32.140625" style="136" customWidth="1"/>
    <col min="771" max="771" width="16.140625" style="136" customWidth="1"/>
    <col min="772" max="772" width="16.85546875" style="136" customWidth="1"/>
    <col min="773" max="774" width="24.28515625" style="136" bestFit="1" customWidth="1"/>
    <col min="775" max="775" width="20.28515625" style="136" bestFit="1" customWidth="1"/>
    <col min="776" max="776" width="3.140625" style="136" customWidth="1"/>
    <col min="777" max="1024" width="11.42578125" style="136"/>
    <col min="1025" max="1025" width="4.140625" style="136" customWidth="1"/>
    <col min="1026" max="1026" width="32.140625" style="136" customWidth="1"/>
    <col min="1027" max="1027" width="16.140625" style="136" customWidth="1"/>
    <col min="1028" max="1028" width="16.85546875" style="136" customWidth="1"/>
    <col min="1029" max="1030" width="24.28515625" style="136" bestFit="1" customWidth="1"/>
    <col min="1031" max="1031" width="20.28515625" style="136" bestFit="1" customWidth="1"/>
    <col min="1032" max="1032" width="3.140625" style="136" customWidth="1"/>
    <col min="1033" max="1280" width="11.42578125" style="136"/>
    <col min="1281" max="1281" width="4.140625" style="136" customWidth="1"/>
    <col min="1282" max="1282" width="32.140625" style="136" customWidth="1"/>
    <col min="1283" max="1283" width="16.140625" style="136" customWidth="1"/>
    <col min="1284" max="1284" width="16.85546875" style="136" customWidth="1"/>
    <col min="1285" max="1286" width="24.28515625" style="136" bestFit="1" customWidth="1"/>
    <col min="1287" max="1287" width="20.28515625" style="136" bestFit="1" customWidth="1"/>
    <col min="1288" max="1288" width="3.140625" style="136" customWidth="1"/>
    <col min="1289" max="1536" width="11.42578125" style="136"/>
    <col min="1537" max="1537" width="4.140625" style="136" customWidth="1"/>
    <col min="1538" max="1538" width="32.140625" style="136" customWidth="1"/>
    <col min="1539" max="1539" width="16.140625" style="136" customWidth="1"/>
    <col min="1540" max="1540" width="16.85546875" style="136" customWidth="1"/>
    <col min="1541" max="1542" width="24.28515625" style="136" bestFit="1" customWidth="1"/>
    <col min="1543" max="1543" width="20.28515625" style="136" bestFit="1" customWidth="1"/>
    <col min="1544" max="1544" width="3.140625" style="136" customWidth="1"/>
    <col min="1545" max="1792" width="11.42578125" style="136"/>
    <col min="1793" max="1793" width="4.140625" style="136" customWidth="1"/>
    <col min="1794" max="1794" width="32.140625" style="136" customWidth="1"/>
    <col min="1795" max="1795" width="16.140625" style="136" customWidth="1"/>
    <col min="1796" max="1796" width="16.85546875" style="136" customWidth="1"/>
    <col min="1797" max="1798" width="24.28515625" style="136" bestFit="1" customWidth="1"/>
    <col min="1799" max="1799" width="20.28515625" style="136" bestFit="1" customWidth="1"/>
    <col min="1800" max="1800" width="3.140625" style="136" customWidth="1"/>
    <col min="1801" max="2048" width="11.42578125" style="136"/>
    <col min="2049" max="2049" width="4.140625" style="136" customWidth="1"/>
    <col min="2050" max="2050" width="32.140625" style="136" customWidth="1"/>
    <col min="2051" max="2051" width="16.140625" style="136" customWidth="1"/>
    <col min="2052" max="2052" width="16.85546875" style="136" customWidth="1"/>
    <col min="2053" max="2054" width="24.28515625" style="136" bestFit="1" customWidth="1"/>
    <col min="2055" max="2055" width="20.28515625" style="136" bestFit="1" customWidth="1"/>
    <col min="2056" max="2056" width="3.140625" style="136" customWidth="1"/>
    <col min="2057" max="2304" width="11.42578125" style="136"/>
    <col min="2305" max="2305" width="4.140625" style="136" customWidth="1"/>
    <col min="2306" max="2306" width="32.140625" style="136" customWidth="1"/>
    <col min="2307" max="2307" width="16.140625" style="136" customWidth="1"/>
    <col min="2308" max="2308" width="16.85546875" style="136" customWidth="1"/>
    <col min="2309" max="2310" width="24.28515625" style="136" bestFit="1" customWidth="1"/>
    <col min="2311" max="2311" width="20.28515625" style="136" bestFit="1" customWidth="1"/>
    <col min="2312" max="2312" width="3.140625" style="136" customWidth="1"/>
    <col min="2313" max="2560" width="11.42578125" style="136"/>
    <col min="2561" max="2561" width="4.140625" style="136" customWidth="1"/>
    <col min="2562" max="2562" width="32.140625" style="136" customWidth="1"/>
    <col min="2563" max="2563" width="16.140625" style="136" customWidth="1"/>
    <col min="2564" max="2564" width="16.85546875" style="136" customWidth="1"/>
    <col min="2565" max="2566" width="24.28515625" style="136" bestFit="1" customWidth="1"/>
    <col min="2567" max="2567" width="20.28515625" style="136" bestFit="1" customWidth="1"/>
    <col min="2568" max="2568" width="3.140625" style="136" customWidth="1"/>
    <col min="2569" max="2816" width="11.42578125" style="136"/>
    <col min="2817" max="2817" width="4.140625" style="136" customWidth="1"/>
    <col min="2818" max="2818" width="32.140625" style="136" customWidth="1"/>
    <col min="2819" max="2819" width="16.140625" style="136" customWidth="1"/>
    <col min="2820" max="2820" width="16.85546875" style="136" customWidth="1"/>
    <col min="2821" max="2822" width="24.28515625" style="136" bestFit="1" customWidth="1"/>
    <col min="2823" max="2823" width="20.28515625" style="136" bestFit="1" customWidth="1"/>
    <col min="2824" max="2824" width="3.140625" style="136" customWidth="1"/>
    <col min="2825" max="3072" width="11.42578125" style="136"/>
    <col min="3073" max="3073" width="4.140625" style="136" customWidth="1"/>
    <col min="3074" max="3074" width="32.140625" style="136" customWidth="1"/>
    <col min="3075" max="3075" width="16.140625" style="136" customWidth="1"/>
    <col min="3076" max="3076" width="16.85546875" style="136" customWidth="1"/>
    <col min="3077" max="3078" width="24.28515625" style="136" bestFit="1" customWidth="1"/>
    <col min="3079" max="3079" width="20.28515625" style="136" bestFit="1" customWidth="1"/>
    <col min="3080" max="3080" width="3.140625" style="136" customWidth="1"/>
    <col min="3081" max="3328" width="11.42578125" style="136"/>
    <col min="3329" max="3329" width="4.140625" style="136" customWidth="1"/>
    <col min="3330" max="3330" width="32.140625" style="136" customWidth="1"/>
    <col min="3331" max="3331" width="16.140625" style="136" customWidth="1"/>
    <col min="3332" max="3332" width="16.85546875" style="136" customWidth="1"/>
    <col min="3333" max="3334" width="24.28515625" style="136" bestFit="1" customWidth="1"/>
    <col min="3335" max="3335" width="20.28515625" style="136" bestFit="1" customWidth="1"/>
    <col min="3336" max="3336" width="3.140625" style="136" customWidth="1"/>
    <col min="3337" max="3584" width="11.42578125" style="136"/>
    <col min="3585" max="3585" width="4.140625" style="136" customWidth="1"/>
    <col min="3586" max="3586" width="32.140625" style="136" customWidth="1"/>
    <col min="3587" max="3587" width="16.140625" style="136" customWidth="1"/>
    <col min="3588" max="3588" width="16.85546875" style="136" customWidth="1"/>
    <col min="3589" max="3590" width="24.28515625" style="136" bestFit="1" customWidth="1"/>
    <col min="3591" max="3591" width="20.28515625" style="136" bestFit="1" customWidth="1"/>
    <col min="3592" max="3592" width="3.140625" style="136" customWidth="1"/>
    <col min="3593" max="3840" width="11.42578125" style="136"/>
    <col min="3841" max="3841" width="4.140625" style="136" customWidth="1"/>
    <col min="3842" max="3842" width="32.140625" style="136" customWidth="1"/>
    <col min="3843" max="3843" width="16.140625" style="136" customWidth="1"/>
    <col min="3844" max="3844" width="16.85546875" style="136" customWidth="1"/>
    <col min="3845" max="3846" width="24.28515625" style="136" bestFit="1" customWidth="1"/>
    <col min="3847" max="3847" width="20.28515625" style="136" bestFit="1" customWidth="1"/>
    <col min="3848" max="3848" width="3.140625" style="136" customWidth="1"/>
    <col min="3849" max="4096" width="11.42578125" style="136"/>
    <col min="4097" max="4097" width="4.140625" style="136" customWidth="1"/>
    <col min="4098" max="4098" width="32.140625" style="136" customWidth="1"/>
    <col min="4099" max="4099" width="16.140625" style="136" customWidth="1"/>
    <col min="4100" max="4100" width="16.85546875" style="136" customWidth="1"/>
    <col min="4101" max="4102" width="24.28515625" style="136" bestFit="1" customWidth="1"/>
    <col min="4103" max="4103" width="20.28515625" style="136" bestFit="1" customWidth="1"/>
    <col min="4104" max="4104" width="3.140625" style="136" customWidth="1"/>
    <col min="4105" max="4352" width="11.42578125" style="136"/>
    <col min="4353" max="4353" width="4.140625" style="136" customWidth="1"/>
    <col min="4354" max="4354" width="32.140625" style="136" customWidth="1"/>
    <col min="4355" max="4355" width="16.140625" style="136" customWidth="1"/>
    <col min="4356" max="4356" width="16.85546875" style="136" customWidth="1"/>
    <col min="4357" max="4358" width="24.28515625" style="136" bestFit="1" customWidth="1"/>
    <col min="4359" max="4359" width="20.28515625" style="136" bestFit="1" customWidth="1"/>
    <col min="4360" max="4360" width="3.140625" style="136" customWidth="1"/>
    <col min="4361" max="4608" width="11.42578125" style="136"/>
    <col min="4609" max="4609" width="4.140625" style="136" customWidth="1"/>
    <col min="4610" max="4610" width="32.140625" style="136" customWidth="1"/>
    <col min="4611" max="4611" width="16.140625" style="136" customWidth="1"/>
    <col min="4612" max="4612" width="16.85546875" style="136" customWidth="1"/>
    <col min="4613" max="4614" width="24.28515625" style="136" bestFit="1" customWidth="1"/>
    <col min="4615" max="4615" width="20.28515625" style="136" bestFit="1" customWidth="1"/>
    <col min="4616" max="4616" width="3.140625" style="136" customWidth="1"/>
    <col min="4617" max="4864" width="11.42578125" style="136"/>
    <col min="4865" max="4865" width="4.140625" style="136" customWidth="1"/>
    <col min="4866" max="4866" width="32.140625" style="136" customWidth="1"/>
    <col min="4867" max="4867" width="16.140625" style="136" customWidth="1"/>
    <col min="4868" max="4868" width="16.85546875" style="136" customWidth="1"/>
    <col min="4869" max="4870" width="24.28515625" style="136" bestFit="1" customWidth="1"/>
    <col min="4871" max="4871" width="20.28515625" style="136" bestFit="1" customWidth="1"/>
    <col min="4872" max="4872" width="3.140625" style="136" customWidth="1"/>
    <col min="4873" max="5120" width="11.42578125" style="136"/>
    <col min="5121" max="5121" width="4.140625" style="136" customWidth="1"/>
    <col min="5122" max="5122" width="32.140625" style="136" customWidth="1"/>
    <col min="5123" max="5123" width="16.140625" style="136" customWidth="1"/>
    <col min="5124" max="5124" width="16.85546875" style="136" customWidth="1"/>
    <col min="5125" max="5126" width="24.28515625" style="136" bestFit="1" customWidth="1"/>
    <col min="5127" max="5127" width="20.28515625" style="136" bestFit="1" customWidth="1"/>
    <col min="5128" max="5128" width="3.140625" style="136" customWidth="1"/>
    <col min="5129" max="5376" width="11.42578125" style="136"/>
    <col min="5377" max="5377" width="4.140625" style="136" customWidth="1"/>
    <col min="5378" max="5378" width="32.140625" style="136" customWidth="1"/>
    <col min="5379" max="5379" width="16.140625" style="136" customWidth="1"/>
    <col min="5380" max="5380" width="16.85546875" style="136" customWidth="1"/>
    <col min="5381" max="5382" width="24.28515625" style="136" bestFit="1" customWidth="1"/>
    <col min="5383" max="5383" width="20.28515625" style="136" bestFit="1" customWidth="1"/>
    <col min="5384" max="5384" width="3.140625" style="136" customWidth="1"/>
    <col min="5385" max="5632" width="11.42578125" style="136"/>
    <col min="5633" max="5633" width="4.140625" style="136" customWidth="1"/>
    <col min="5634" max="5634" width="32.140625" style="136" customWidth="1"/>
    <col min="5635" max="5635" width="16.140625" style="136" customWidth="1"/>
    <col min="5636" max="5636" width="16.85546875" style="136" customWidth="1"/>
    <col min="5637" max="5638" width="24.28515625" style="136" bestFit="1" customWidth="1"/>
    <col min="5639" max="5639" width="20.28515625" style="136" bestFit="1" customWidth="1"/>
    <col min="5640" max="5640" width="3.140625" style="136" customWidth="1"/>
    <col min="5641" max="5888" width="11.42578125" style="136"/>
    <col min="5889" max="5889" width="4.140625" style="136" customWidth="1"/>
    <col min="5890" max="5890" width="32.140625" style="136" customWidth="1"/>
    <col min="5891" max="5891" width="16.140625" style="136" customWidth="1"/>
    <col min="5892" max="5892" width="16.85546875" style="136" customWidth="1"/>
    <col min="5893" max="5894" width="24.28515625" style="136" bestFit="1" customWidth="1"/>
    <col min="5895" max="5895" width="20.28515625" style="136" bestFit="1" customWidth="1"/>
    <col min="5896" max="5896" width="3.140625" style="136" customWidth="1"/>
    <col min="5897" max="6144" width="11.42578125" style="136"/>
    <col min="6145" max="6145" width="4.140625" style="136" customWidth="1"/>
    <col min="6146" max="6146" width="32.140625" style="136" customWidth="1"/>
    <col min="6147" max="6147" width="16.140625" style="136" customWidth="1"/>
    <col min="6148" max="6148" width="16.85546875" style="136" customWidth="1"/>
    <col min="6149" max="6150" width="24.28515625" style="136" bestFit="1" customWidth="1"/>
    <col min="6151" max="6151" width="20.28515625" style="136" bestFit="1" customWidth="1"/>
    <col min="6152" max="6152" width="3.140625" style="136" customWidth="1"/>
    <col min="6153" max="6400" width="11.42578125" style="136"/>
    <col min="6401" max="6401" width="4.140625" style="136" customWidth="1"/>
    <col min="6402" max="6402" width="32.140625" style="136" customWidth="1"/>
    <col min="6403" max="6403" width="16.140625" style="136" customWidth="1"/>
    <col min="6404" max="6404" width="16.85546875" style="136" customWidth="1"/>
    <col min="6405" max="6406" width="24.28515625" style="136" bestFit="1" customWidth="1"/>
    <col min="6407" max="6407" width="20.28515625" style="136" bestFit="1" customWidth="1"/>
    <col min="6408" max="6408" width="3.140625" style="136" customWidth="1"/>
    <col min="6409" max="6656" width="11.42578125" style="136"/>
    <col min="6657" max="6657" width="4.140625" style="136" customWidth="1"/>
    <col min="6658" max="6658" width="32.140625" style="136" customWidth="1"/>
    <col min="6659" max="6659" width="16.140625" style="136" customWidth="1"/>
    <col min="6660" max="6660" width="16.85546875" style="136" customWidth="1"/>
    <col min="6661" max="6662" width="24.28515625" style="136" bestFit="1" customWidth="1"/>
    <col min="6663" max="6663" width="20.28515625" style="136" bestFit="1" customWidth="1"/>
    <col min="6664" max="6664" width="3.140625" style="136" customWidth="1"/>
    <col min="6665" max="6912" width="11.42578125" style="136"/>
    <col min="6913" max="6913" width="4.140625" style="136" customWidth="1"/>
    <col min="6914" max="6914" width="32.140625" style="136" customWidth="1"/>
    <col min="6915" max="6915" width="16.140625" style="136" customWidth="1"/>
    <col min="6916" max="6916" width="16.85546875" style="136" customWidth="1"/>
    <col min="6917" max="6918" width="24.28515625" style="136" bestFit="1" customWidth="1"/>
    <col min="6919" max="6919" width="20.28515625" style="136" bestFit="1" customWidth="1"/>
    <col min="6920" max="6920" width="3.140625" style="136" customWidth="1"/>
    <col min="6921" max="7168" width="11.42578125" style="136"/>
    <col min="7169" max="7169" width="4.140625" style="136" customWidth="1"/>
    <col min="7170" max="7170" width="32.140625" style="136" customWidth="1"/>
    <col min="7171" max="7171" width="16.140625" style="136" customWidth="1"/>
    <col min="7172" max="7172" width="16.85546875" style="136" customWidth="1"/>
    <col min="7173" max="7174" width="24.28515625" style="136" bestFit="1" customWidth="1"/>
    <col min="7175" max="7175" width="20.28515625" style="136" bestFit="1" customWidth="1"/>
    <col min="7176" max="7176" width="3.140625" style="136" customWidth="1"/>
    <col min="7177" max="7424" width="11.42578125" style="136"/>
    <col min="7425" max="7425" width="4.140625" style="136" customWidth="1"/>
    <col min="7426" max="7426" width="32.140625" style="136" customWidth="1"/>
    <col min="7427" max="7427" width="16.140625" style="136" customWidth="1"/>
    <col min="7428" max="7428" width="16.85546875" style="136" customWidth="1"/>
    <col min="7429" max="7430" width="24.28515625" style="136" bestFit="1" customWidth="1"/>
    <col min="7431" max="7431" width="20.28515625" style="136" bestFit="1" customWidth="1"/>
    <col min="7432" max="7432" width="3.140625" style="136" customWidth="1"/>
    <col min="7433" max="7680" width="11.42578125" style="136"/>
    <col min="7681" max="7681" width="4.140625" style="136" customWidth="1"/>
    <col min="7682" max="7682" width="32.140625" style="136" customWidth="1"/>
    <col min="7683" max="7683" width="16.140625" style="136" customWidth="1"/>
    <col min="7684" max="7684" width="16.85546875" style="136" customWidth="1"/>
    <col min="7685" max="7686" width="24.28515625" style="136" bestFit="1" customWidth="1"/>
    <col min="7687" max="7687" width="20.28515625" style="136" bestFit="1" customWidth="1"/>
    <col min="7688" max="7688" width="3.140625" style="136" customWidth="1"/>
    <col min="7689" max="7936" width="11.42578125" style="136"/>
    <col min="7937" max="7937" width="4.140625" style="136" customWidth="1"/>
    <col min="7938" max="7938" width="32.140625" style="136" customWidth="1"/>
    <col min="7939" max="7939" width="16.140625" style="136" customWidth="1"/>
    <col min="7940" max="7940" width="16.85546875" style="136" customWidth="1"/>
    <col min="7941" max="7942" width="24.28515625" style="136" bestFit="1" customWidth="1"/>
    <col min="7943" max="7943" width="20.28515625" style="136" bestFit="1" customWidth="1"/>
    <col min="7944" max="7944" width="3.140625" style="136" customWidth="1"/>
    <col min="7945" max="8192" width="11.42578125" style="136"/>
    <col min="8193" max="8193" width="4.140625" style="136" customWidth="1"/>
    <col min="8194" max="8194" width="32.140625" style="136" customWidth="1"/>
    <col min="8195" max="8195" width="16.140625" style="136" customWidth="1"/>
    <col min="8196" max="8196" width="16.85546875" style="136" customWidth="1"/>
    <col min="8197" max="8198" width="24.28515625" style="136" bestFit="1" customWidth="1"/>
    <col min="8199" max="8199" width="20.28515625" style="136" bestFit="1" customWidth="1"/>
    <col min="8200" max="8200" width="3.140625" style="136" customWidth="1"/>
    <col min="8201" max="8448" width="11.42578125" style="136"/>
    <col min="8449" max="8449" width="4.140625" style="136" customWidth="1"/>
    <col min="8450" max="8450" width="32.140625" style="136" customWidth="1"/>
    <col min="8451" max="8451" width="16.140625" style="136" customWidth="1"/>
    <col min="8452" max="8452" width="16.85546875" style="136" customWidth="1"/>
    <col min="8453" max="8454" width="24.28515625" style="136" bestFit="1" customWidth="1"/>
    <col min="8455" max="8455" width="20.28515625" style="136" bestFit="1" customWidth="1"/>
    <col min="8456" max="8456" width="3.140625" style="136" customWidth="1"/>
    <col min="8457" max="8704" width="11.42578125" style="136"/>
    <col min="8705" max="8705" width="4.140625" style="136" customWidth="1"/>
    <col min="8706" max="8706" width="32.140625" style="136" customWidth="1"/>
    <col min="8707" max="8707" width="16.140625" style="136" customWidth="1"/>
    <col min="8708" max="8708" width="16.85546875" style="136" customWidth="1"/>
    <col min="8709" max="8710" width="24.28515625" style="136" bestFit="1" customWidth="1"/>
    <col min="8711" max="8711" width="20.28515625" style="136" bestFit="1" customWidth="1"/>
    <col min="8712" max="8712" width="3.140625" style="136" customWidth="1"/>
    <col min="8713" max="8960" width="11.42578125" style="136"/>
    <col min="8961" max="8961" width="4.140625" style="136" customWidth="1"/>
    <col min="8962" max="8962" width="32.140625" style="136" customWidth="1"/>
    <col min="8963" max="8963" width="16.140625" style="136" customWidth="1"/>
    <col min="8964" max="8964" width="16.85546875" style="136" customWidth="1"/>
    <col min="8965" max="8966" width="24.28515625" style="136" bestFit="1" customWidth="1"/>
    <col min="8967" max="8967" width="20.28515625" style="136" bestFit="1" customWidth="1"/>
    <col min="8968" max="8968" width="3.140625" style="136" customWidth="1"/>
    <col min="8969" max="9216" width="11.42578125" style="136"/>
    <col min="9217" max="9217" width="4.140625" style="136" customWidth="1"/>
    <col min="9218" max="9218" width="32.140625" style="136" customWidth="1"/>
    <col min="9219" max="9219" width="16.140625" style="136" customWidth="1"/>
    <col min="9220" max="9220" width="16.85546875" style="136" customWidth="1"/>
    <col min="9221" max="9222" width="24.28515625" style="136" bestFit="1" customWidth="1"/>
    <col min="9223" max="9223" width="20.28515625" style="136" bestFit="1" customWidth="1"/>
    <col min="9224" max="9224" width="3.140625" style="136" customWidth="1"/>
    <col min="9225" max="9472" width="11.42578125" style="136"/>
    <col min="9473" max="9473" width="4.140625" style="136" customWidth="1"/>
    <col min="9474" max="9474" width="32.140625" style="136" customWidth="1"/>
    <col min="9475" max="9475" width="16.140625" style="136" customWidth="1"/>
    <col min="9476" max="9476" width="16.85546875" style="136" customWidth="1"/>
    <col min="9477" max="9478" width="24.28515625" style="136" bestFit="1" customWidth="1"/>
    <col min="9479" max="9479" width="20.28515625" style="136" bestFit="1" customWidth="1"/>
    <col min="9480" max="9480" width="3.140625" style="136" customWidth="1"/>
    <col min="9481" max="9728" width="11.42578125" style="136"/>
    <col min="9729" max="9729" width="4.140625" style="136" customWidth="1"/>
    <col min="9730" max="9730" width="32.140625" style="136" customWidth="1"/>
    <col min="9731" max="9731" width="16.140625" style="136" customWidth="1"/>
    <col min="9732" max="9732" width="16.85546875" style="136" customWidth="1"/>
    <col min="9733" max="9734" width="24.28515625" style="136" bestFit="1" customWidth="1"/>
    <col min="9735" max="9735" width="20.28515625" style="136" bestFit="1" customWidth="1"/>
    <col min="9736" max="9736" width="3.140625" style="136" customWidth="1"/>
    <col min="9737" max="9984" width="11.42578125" style="136"/>
    <col min="9985" max="9985" width="4.140625" style="136" customWidth="1"/>
    <col min="9986" max="9986" width="32.140625" style="136" customWidth="1"/>
    <col min="9987" max="9987" width="16.140625" style="136" customWidth="1"/>
    <col min="9988" max="9988" width="16.85546875" style="136" customWidth="1"/>
    <col min="9989" max="9990" width="24.28515625" style="136" bestFit="1" customWidth="1"/>
    <col min="9991" max="9991" width="20.28515625" style="136" bestFit="1" customWidth="1"/>
    <col min="9992" max="9992" width="3.140625" style="136" customWidth="1"/>
    <col min="9993" max="10240" width="11.42578125" style="136"/>
    <col min="10241" max="10241" width="4.140625" style="136" customWidth="1"/>
    <col min="10242" max="10242" width="32.140625" style="136" customWidth="1"/>
    <col min="10243" max="10243" width="16.140625" style="136" customWidth="1"/>
    <col min="10244" max="10244" width="16.85546875" style="136" customWidth="1"/>
    <col min="10245" max="10246" width="24.28515625" style="136" bestFit="1" customWidth="1"/>
    <col min="10247" max="10247" width="20.28515625" style="136" bestFit="1" customWidth="1"/>
    <col min="10248" max="10248" width="3.140625" style="136" customWidth="1"/>
    <col min="10249" max="10496" width="11.42578125" style="136"/>
    <col min="10497" max="10497" width="4.140625" style="136" customWidth="1"/>
    <col min="10498" max="10498" width="32.140625" style="136" customWidth="1"/>
    <col min="10499" max="10499" width="16.140625" style="136" customWidth="1"/>
    <col min="10500" max="10500" width="16.85546875" style="136" customWidth="1"/>
    <col min="10501" max="10502" width="24.28515625" style="136" bestFit="1" customWidth="1"/>
    <col min="10503" max="10503" width="20.28515625" style="136" bestFit="1" customWidth="1"/>
    <col min="10504" max="10504" width="3.140625" style="136" customWidth="1"/>
    <col min="10505" max="10752" width="11.42578125" style="136"/>
    <col min="10753" max="10753" width="4.140625" style="136" customWidth="1"/>
    <col min="10754" max="10754" width="32.140625" style="136" customWidth="1"/>
    <col min="10755" max="10755" width="16.140625" style="136" customWidth="1"/>
    <col min="10756" max="10756" width="16.85546875" style="136" customWidth="1"/>
    <col min="10757" max="10758" width="24.28515625" style="136" bestFit="1" customWidth="1"/>
    <col min="10759" max="10759" width="20.28515625" style="136" bestFit="1" customWidth="1"/>
    <col min="10760" max="10760" width="3.140625" style="136" customWidth="1"/>
    <col min="10761" max="11008" width="11.42578125" style="136"/>
    <col min="11009" max="11009" width="4.140625" style="136" customWidth="1"/>
    <col min="11010" max="11010" width="32.140625" style="136" customWidth="1"/>
    <col min="11011" max="11011" width="16.140625" style="136" customWidth="1"/>
    <col min="11012" max="11012" width="16.85546875" style="136" customWidth="1"/>
    <col min="11013" max="11014" width="24.28515625" style="136" bestFit="1" customWidth="1"/>
    <col min="11015" max="11015" width="20.28515625" style="136" bestFit="1" customWidth="1"/>
    <col min="11016" max="11016" width="3.140625" style="136" customWidth="1"/>
    <col min="11017" max="11264" width="11.42578125" style="136"/>
    <col min="11265" max="11265" width="4.140625" style="136" customWidth="1"/>
    <col min="11266" max="11266" width="32.140625" style="136" customWidth="1"/>
    <col min="11267" max="11267" width="16.140625" style="136" customWidth="1"/>
    <col min="11268" max="11268" width="16.85546875" style="136" customWidth="1"/>
    <col min="11269" max="11270" width="24.28515625" style="136" bestFit="1" customWidth="1"/>
    <col min="11271" max="11271" width="20.28515625" style="136" bestFit="1" customWidth="1"/>
    <col min="11272" max="11272" width="3.140625" style="136" customWidth="1"/>
    <col min="11273" max="11520" width="11.42578125" style="136"/>
    <col min="11521" max="11521" width="4.140625" style="136" customWidth="1"/>
    <col min="11522" max="11522" width="32.140625" style="136" customWidth="1"/>
    <col min="11523" max="11523" width="16.140625" style="136" customWidth="1"/>
    <col min="11524" max="11524" width="16.85546875" style="136" customWidth="1"/>
    <col min="11525" max="11526" width="24.28515625" style="136" bestFit="1" customWidth="1"/>
    <col min="11527" max="11527" width="20.28515625" style="136" bestFit="1" customWidth="1"/>
    <col min="11528" max="11528" width="3.140625" style="136" customWidth="1"/>
    <col min="11529" max="11776" width="11.42578125" style="136"/>
    <col min="11777" max="11777" width="4.140625" style="136" customWidth="1"/>
    <col min="11778" max="11778" width="32.140625" style="136" customWidth="1"/>
    <col min="11779" max="11779" width="16.140625" style="136" customWidth="1"/>
    <col min="11780" max="11780" width="16.85546875" style="136" customWidth="1"/>
    <col min="11781" max="11782" width="24.28515625" style="136" bestFit="1" customWidth="1"/>
    <col min="11783" max="11783" width="20.28515625" style="136" bestFit="1" customWidth="1"/>
    <col min="11784" max="11784" width="3.140625" style="136" customWidth="1"/>
    <col min="11785" max="12032" width="11.42578125" style="136"/>
    <col min="12033" max="12033" width="4.140625" style="136" customWidth="1"/>
    <col min="12034" max="12034" width="32.140625" style="136" customWidth="1"/>
    <col min="12035" max="12035" width="16.140625" style="136" customWidth="1"/>
    <col min="12036" max="12036" width="16.85546875" style="136" customWidth="1"/>
    <col min="12037" max="12038" width="24.28515625" style="136" bestFit="1" customWidth="1"/>
    <col min="12039" max="12039" width="20.28515625" style="136" bestFit="1" customWidth="1"/>
    <col min="12040" max="12040" width="3.140625" style="136" customWidth="1"/>
    <col min="12041" max="12288" width="11.42578125" style="136"/>
    <col min="12289" max="12289" width="4.140625" style="136" customWidth="1"/>
    <col min="12290" max="12290" width="32.140625" style="136" customWidth="1"/>
    <col min="12291" max="12291" width="16.140625" style="136" customWidth="1"/>
    <col min="12292" max="12292" width="16.85546875" style="136" customWidth="1"/>
    <col min="12293" max="12294" width="24.28515625" style="136" bestFit="1" customWidth="1"/>
    <col min="12295" max="12295" width="20.28515625" style="136" bestFit="1" customWidth="1"/>
    <col min="12296" max="12296" width="3.140625" style="136" customWidth="1"/>
    <col min="12297" max="12544" width="11.42578125" style="136"/>
    <col min="12545" max="12545" width="4.140625" style="136" customWidth="1"/>
    <col min="12546" max="12546" width="32.140625" style="136" customWidth="1"/>
    <col min="12547" max="12547" width="16.140625" style="136" customWidth="1"/>
    <col min="12548" max="12548" width="16.85546875" style="136" customWidth="1"/>
    <col min="12549" max="12550" width="24.28515625" style="136" bestFit="1" customWidth="1"/>
    <col min="12551" max="12551" width="20.28515625" style="136" bestFit="1" customWidth="1"/>
    <col min="12552" max="12552" width="3.140625" style="136" customWidth="1"/>
    <col min="12553" max="12800" width="11.42578125" style="136"/>
    <col min="12801" max="12801" width="4.140625" style="136" customWidth="1"/>
    <col min="12802" max="12802" width="32.140625" style="136" customWidth="1"/>
    <col min="12803" max="12803" width="16.140625" style="136" customWidth="1"/>
    <col min="12804" max="12804" width="16.85546875" style="136" customWidth="1"/>
    <col min="12805" max="12806" width="24.28515625" style="136" bestFit="1" customWidth="1"/>
    <col min="12807" max="12807" width="20.28515625" style="136" bestFit="1" customWidth="1"/>
    <col min="12808" max="12808" width="3.140625" style="136" customWidth="1"/>
    <col min="12809" max="13056" width="11.42578125" style="136"/>
    <col min="13057" max="13057" width="4.140625" style="136" customWidth="1"/>
    <col min="13058" max="13058" width="32.140625" style="136" customWidth="1"/>
    <col min="13059" max="13059" width="16.140625" style="136" customWidth="1"/>
    <col min="13060" max="13060" width="16.85546875" style="136" customWidth="1"/>
    <col min="13061" max="13062" width="24.28515625" style="136" bestFit="1" customWidth="1"/>
    <col min="13063" max="13063" width="20.28515625" style="136" bestFit="1" customWidth="1"/>
    <col min="13064" max="13064" width="3.140625" style="136" customWidth="1"/>
    <col min="13065" max="13312" width="11.42578125" style="136"/>
    <col min="13313" max="13313" width="4.140625" style="136" customWidth="1"/>
    <col min="13314" max="13314" width="32.140625" style="136" customWidth="1"/>
    <col min="13315" max="13315" width="16.140625" style="136" customWidth="1"/>
    <col min="13316" max="13316" width="16.85546875" style="136" customWidth="1"/>
    <col min="13317" max="13318" width="24.28515625" style="136" bestFit="1" customWidth="1"/>
    <col min="13319" max="13319" width="20.28515625" style="136" bestFit="1" customWidth="1"/>
    <col min="13320" max="13320" width="3.140625" style="136" customWidth="1"/>
    <col min="13321" max="13568" width="11.42578125" style="136"/>
    <col min="13569" max="13569" width="4.140625" style="136" customWidth="1"/>
    <col min="13570" max="13570" width="32.140625" style="136" customWidth="1"/>
    <col min="13571" max="13571" width="16.140625" style="136" customWidth="1"/>
    <col min="13572" max="13572" width="16.85546875" style="136" customWidth="1"/>
    <col min="13573" max="13574" width="24.28515625" style="136" bestFit="1" customWidth="1"/>
    <col min="13575" max="13575" width="20.28515625" style="136" bestFit="1" customWidth="1"/>
    <col min="13576" max="13576" width="3.140625" style="136" customWidth="1"/>
    <col min="13577" max="13824" width="11.42578125" style="136"/>
    <col min="13825" max="13825" width="4.140625" style="136" customWidth="1"/>
    <col min="13826" max="13826" width="32.140625" style="136" customWidth="1"/>
    <col min="13827" max="13827" width="16.140625" style="136" customWidth="1"/>
    <col min="13828" max="13828" width="16.85546875" style="136" customWidth="1"/>
    <col min="13829" max="13830" width="24.28515625" style="136" bestFit="1" customWidth="1"/>
    <col min="13831" max="13831" width="20.28515625" style="136" bestFit="1" customWidth="1"/>
    <col min="13832" max="13832" width="3.140625" style="136" customWidth="1"/>
    <col min="13833" max="14080" width="11.42578125" style="136"/>
    <col min="14081" max="14081" width="4.140625" style="136" customWidth="1"/>
    <col min="14082" max="14082" width="32.140625" style="136" customWidth="1"/>
    <col min="14083" max="14083" width="16.140625" style="136" customWidth="1"/>
    <col min="14084" max="14084" width="16.85546875" style="136" customWidth="1"/>
    <col min="14085" max="14086" width="24.28515625" style="136" bestFit="1" customWidth="1"/>
    <col min="14087" max="14087" width="20.28515625" style="136" bestFit="1" customWidth="1"/>
    <col min="14088" max="14088" width="3.140625" style="136" customWidth="1"/>
    <col min="14089" max="14336" width="11.42578125" style="136"/>
    <col min="14337" max="14337" width="4.140625" style="136" customWidth="1"/>
    <col min="14338" max="14338" width="32.140625" style="136" customWidth="1"/>
    <col min="14339" max="14339" width="16.140625" style="136" customWidth="1"/>
    <col min="14340" max="14340" width="16.85546875" style="136" customWidth="1"/>
    <col min="14341" max="14342" width="24.28515625" style="136" bestFit="1" customWidth="1"/>
    <col min="14343" max="14343" width="20.28515625" style="136" bestFit="1" customWidth="1"/>
    <col min="14344" max="14344" width="3.140625" style="136" customWidth="1"/>
    <col min="14345" max="14592" width="11.42578125" style="136"/>
    <col min="14593" max="14593" width="4.140625" style="136" customWidth="1"/>
    <col min="14594" max="14594" width="32.140625" style="136" customWidth="1"/>
    <col min="14595" max="14595" width="16.140625" style="136" customWidth="1"/>
    <col min="14596" max="14596" width="16.85546875" style="136" customWidth="1"/>
    <col min="14597" max="14598" width="24.28515625" style="136" bestFit="1" customWidth="1"/>
    <col min="14599" max="14599" width="20.28515625" style="136" bestFit="1" customWidth="1"/>
    <col min="14600" max="14600" width="3.140625" style="136" customWidth="1"/>
    <col min="14601" max="14848" width="11.42578125" style="136"/>
    <col min="14849" max="14849" width="4.140625" style="136" customWidth="1"/>
    <col min="14850" max="14850" width="32.140625" style="136" customWidth="1"/>
    <col min="14851" max="14851" width="16.140625" style="136" customWidth="1"/>
    <col min="14852" max="14852" width="16.85546875" style="136" customWidth="1"/>
    <col min="14853" max="14854" width="24.28515625" style="136" bestFit="1" customWidth="1"/>
    <col min="14855" max="14855" width="20.28515625" style="136" bestFit="1" customWidth="1"/>
    <col min="14856" max="14856" width="3.140625" style="136" customWidth="1"/>
    <col min="14857" max="15104" width="11.42578125" style="136"/>
    <col min="15105" max="15105" width="4.140625" style="136" customWidth="1"/>
    <col min="15106" max="15106" width="32.140625" style="136" customWidth="1"/>
    <col min="15107" max="15107" width="16.140625" style="136" customWidth="1"/>
    <col min="15108" max="15108" width="16.85546875" style="136" customWidth="1"/>
    <col min="15109" max="15110" width="24.28515625" style="136" bestFit="1" customWidth="1"/>
    <col min="15111" max="15111" width="20.28515625" style="136" bestFit="1" customWidth="1"/>
    <col min="15112" max="15112" width="3.140625" style="136" customWidth="1"/>
    <col min="15113" max="15360" width="11.42578125" style="136"/>
    <col min="15361" max="15361" width="4.140625" style="136" customWidth="1"/>
    <col min="15362" max="15362" width="32.140625" style="136" customWidth="1"/>
    <col min="15363" max="15363" width="16.140625" style="136" customWidth="1"/>
    <col min="15364" max="15364" width="16.85546875" style="136" customWidth="1"/>
    <col min="15365" max="15366" width="24.28515625" style="136" bestFit="1" customWidth="1"/>
    <col min="15367" max="15367" width="20.28515625" style="136" bestFit="1" customWidth="1"/>
    <col min="15368" max="15368" width="3.140625" style="136" customWidth="1"/>
    <col min="15369" max="15616" width="11.42578125" style="136"/>
    <col min="15617" max="15617" width="4.140625" style="136" customWidth="1"/>
    <col min="15618" max="15618" width="32.140625" style="136" customWidth="1"/>
    <col min="15619" max="15619" width="16.140625" style="136" customWidth="1"/>
    <col min="15620" max="15620" width="16.85546875" style="136" customWidth="1"/>
    <col min="15621" max="15622" width="24.28515625" style="136" bestFit="1" customWidth="1"/>
    <col min="15623" max="15623" width="20.28515625" style="136" bestFit="1" customWidth="1"/>
    <col min="15624" max="15624" width="3.140625" style="136" customWidth="1"/>
    <col min="15625" max="15872" width="11.42578125" style="136"/>
    <col min="15873" max="15873" width="4.140625" style="136" customWidth="1"/>
    <col min="15874" max="15874" width="32.140625" style="136" customWidth="1"/>
    <col min="15875" max="15875" width="16.140625" style="136" customWidth="1"/>
    <col min="15876" max="15876" width="16.85546875" style="136" customWidth="1"/>
    <col min="15877" max="15878" width="24.28515625" style="136" bestFit="1" customWidth="1"/>
    <col min="15879" max="15879" width="20.28515625" style="136" bestFit="1" customWidth="1"/>
    <col min="15880" max="15880" width="3.140625" style="136" customWidth="1"/>
    <col min="15881" max="16128" width="11.42578125" style="136"/>
    <col min="16129" max="16129" width="4.140625" style="136" customWidth="1"/>
    <col min="16130" max="16130" width="32.140625" style="136" customWidth="1"/>
    <col min="16131" max="16131" width="16.140625" style="136" customWidth="1"/>
    <col min="16132" max="16132" width="16.85546875" style="136" customWidth="1"/>
    <col min="16133" max="16134" width="24.28515625" style="136" bestFit="1" customWidth="1"/>
    <col min="16135" max="16135" width="20.28515625" style="136" bestFit="1" customWidth="1"/>
    <col min="16136" max="16136" width="3.140625" style="136" customWidth="1"/>
    <col min="16137" max="16384" width="11.42578125" style="136"/>
  </cols>
  <sheetData>
    <row r="1" spans="2:7" ht="13.5" thickBot="1" x14ac:dyDescent="0.25"/>
    <row r="2" spans="2:7" ht="13.5" thickBot="1" x14ac:dyDescent="0.25">
      <c r="B2" s="324" t="s">
        <v>452</v>
      </c>
      <c r="C2" s="325"/>
      <c r="D2" s="325"/>
      <c r="E2" s="325"/>
      <c r="F2" s="325"/>
      <c r="G2" s="326"/>
    </row>
    <row r="3" spans="2:7" ht="5.25" customHeight="1" x14ac:dyDescent="0.2">
      <c r="B3" s="137"/>
      <c r="G3" s="138"/>
    </row>
    <row r="4" spans="2:7" ht="51.75" thickBot="1" x14ac:dyDescent="0.25">
      <c r="B4" s="139" t="s">
        <v>453</v>
      </c>
      <c r="C4" s="140" t="s">
        <v>454</v>
      </c>
      <c r="D4" s="140" t="s">
        <v>612</v>
      </c>
      <c r="E4" s="140" t="s">
        <v>3</v>
      </c>
      <c r="F4" s="140" t="s">
        <v>455</v>
      </c>
      <c r="G4" s="141" t="s">
        <v>456</v>
      </c>
    </row>
    <row r="5" spans="2:7" ht="13.5" thickBot="1" x14ac:dyDescent="0.25">
      <c r="B5" s="327" t="s">
        <v>457</v>
      </c>
      <c r="C5" s="328"/>
      <c r="D5" s="328"/>
      <c r="E5" s="328"/>
      <c r="F5" s="329"/>
      <c r="G5" s="330"/>
    </row>
    <row r="6" spans="2:7" ht="13.5" thickBot="1" x14ac:dyDescent="0.25">
      <c r="B6" s="142" t="s">
        <v>458</v>
      </c>
      <c r="C6" s="143">
        <f>'EGR2 2--copiar en word 1 EGR'!F18</f>
        <v>961.19877960000008</v>
      </c>
      <c r="D6" s="143">
        <v>8</v>
      </c>
      <c r="E6" s="144">
        <f>C6*D6</f>
        <v>7689.5902368000006</v>
      </c>
      <c r="F6" s="145">
        <f>MAX(E6,8)</f>
        <v>7689.5902368000006</v>
      </c>
      <c r="G6" s="146">
        <f>F6/'EGR2 2--copiar en word 1 EGR'!$C$11*100</f>
        <v>1.814850820986589</v>
      </c>
    </row>
    <row r="7" spans="2:7" ht="13.5" thickBot="1" x14ac:dyDescent="0.25">
      <c r="B7" s="331"/>
      <c r="C7" s="332"/>
      <c r="D7" s="332"/>
      <c r="E7" s="332"/>
      <c r="F7" s="148"/>
      <c r="G7" s="149">
        <f>G6</f>
        <v>1.814850820986589</v>
      </c>
    </row>
    <row r="8" spans="2:7" ht="6.75" customHeight="1" thickBot="1" x14ac:dyDescent="0.25">
      <c r="B8" s="147"/>
      <c r="C8" s="148"/>
      <c r="D8" s="148"/>
      <c r="E8" s="148"/>
      <c r="F8" s="148"/>
      <c r="G8" s="150"/>
    </row>
    <row r="9" spans="2:7" ht="13.5" thickBot="1" x14ac:dyDescent="0.25">
      <c r="B9" s="333" t="s">
        <v>459</v>
      </c>
      <c r="C9" s="334"/>
      <c r="D9" s="334"/>
      <c r="E9" s="334"/>
      <c r="F9" s="334"/>
      <c r="G9" s="335"/>
    </row>
    <row r="10" spans="2:7" x14ac:dyDescent="0.2">
      <c r="B10" s="142" t="s">
        <v>460</v>
      </c>
      <c r="C10" s="144">
        <f>'EGR2 2--copiar en word 1 EGR'!F38</f>
        <v>58.739925420000006</v>
      </c>
      <c r="D10" s="143">
        <v>20</v>
      </c>
      <c r="E10" s="144">
        <f>C10*D10</f>
        <v>1174.7985084000002</v>
      </c>
      <c r="F10" s="151">
        <f>MAX(E10,20)</f>
        <v>1174.7985084000002</v>
      </c>
      <c r="G10" s="152">
        <f>F10/'EGR2 2--copiar en word 1 EGR'!$C$11*100</f>
        <v>0.2772688754285067</v>
      </c>
    </row>
    <row r="11" spans="2:7" x14ac:dyDescent="0.2">
      <c r="B11" s="142" t="s">
        <v>461</v>
      </c>
      <c r="C11" s="145">
        <f>'EGR2 2--copiar en word 1 EGR'!F26</f>
        <v>1.9579975140000003</v>
      </c>
      <c r="D11" s="153">
        <v>105</v>
      </c>
      <c r="E11" s="144">
        <f>C11*D11</f>
        <v>205.58973897000004</v>
      </c>
      <c r="F11" s="151">
        <f>E11</f>
        <v>205.58973897000004</v>
      </c>
      <c r="G11" s="152">
        <f>F11/'EGR2 2--copiar en word 1 EGR'!$C$11*100</f>
        <v>4.8522053199988674E-2</v>
      </c>
    </row>
    <row r="12" spans="2:7" x14ac:dyDescent="0.2">
      <c r="B12" s="142" t="s">
        <v>462</v>
      </c>
      <c r="C12" s="145">
        <f>'EGR2 2--copiar en word 1 EGR'!F31-'EGR 4-copiar en word 3 EGR'!C11</f>
        <v>15.28744212853846</v>
      </c>
      <c r="D12" s="153">
        <v>23</v>
      </c>
      <c r="E12" s="144">
        <f>C12*D12</f>
        <v>351.61116895638457</v>
      </c>
      <c r="F12" s="151">
        <f>MAX(E12,23)</f>
        <v>351.61116895638457</v>
      </c>
      <c r="G12" s="152">
        <f>F12/'EGR2 2--copiar en word 1 EGR'!$C$11*100</f>
        <v>8.2985152524083158E-2</v>
      </c>
    </row>
    <row r="13" spans="2:7" ht="13.5" thickBot="1" x14ac:dyDescent="0.25">
      <c r="B13" s="154" t="s">
        <v>463</v>
      </c>
      <c r="C13" s="145">
        <f>'EGR2 2--copiar en word 1 EGR'!F43</f>
        <v>18.535709799200003</v>
      </c>
      <c r="D13" s="153">
        <v>30</v>
      </c>
      <c r="E13" s="144">
        <f>C13*D13</f>
        <v>556.07129397600011</v>
      </c>
      <c r="F13" s="145">
        <f>MAX(E13,30)</f>
        <v>556.07129397600011</v>
      </c>
      <c r="G13" s="152">
        <f>F13/'EGR2 2--copiar en word 1 EGR'!$C$11*100</f>
        <v>0.13124060103615981</v>
      </c>
    </row>
    <row r="14" spans="2:7" ht="13.5" thickBot="1" x14ac:dyDescent="0.25">
      <c r="B14" s="336"/>
      <c r="C14" s="337"/>
      <c r="D14" s="337"/>
      <c r="E14" s="337"/>
      <c r="F14" s="155"/>
      <c r="G14" s="149">
        <f>SUM(G10:G13)</f>
        <v>0.54001668218873833</v>
      </c>
    </row>
    <row r="15" spans="2:7" ht="13.5" thickBot="1" x14ac:dyDescent="0.25">
      <c r="B15" s="148"/>
      <c r="C15" s="148"/>
      <c r="D15" s="148"/>
      <c r="E15" s="148"/>
      <c r="F15" s="148"/>
      <c r="G15" s="148"/>
    </row>
    <row r="16" spans="2:7" ht="13.5" thickBot="1" x14ac:dyDescent="0.25">
      <c r="B16" s="321" t="s">
        <v>464</v>
      </c>
      <c r="C16" s="322"/>
      <c r="D16" s="322"/>
      <c r="E16" s="322"/>
      <c r="F16" s="322"/>
      <c r="G16" s="323"/>
    </row>
    <row r="17" spans="2:9" x14ac:dyDescent="0.2">
      <c r="B17" s="315" t="s">
        <v>465</v>
      </c>
      <c r="C17" s="316"/>
      <c r="D17" s="317"/>
      <c r="E17" s="144">
        <f>G17/100*'EGR2 2--copiar en word 1 EGR'!$C$11</f>
        <v>0</v>
      </c>
      <c r="F17" s="144">
        <f>G17/100*'EGR2 2--copiar en word 1 EGR'!$C$11</f>
        <v>0</v>
      </c>
      <c r="G17" s="156">
        <f>IF(G7&lt;0.2,0.2-G7,0)</f>
        <v>0</v>
      </c>
    </row>
    <row r="18" spans="2:9" x14ac:dyDescent="0.2">
      <c r="B18" s="318" t="s">
        <v>466</v>
      </c>
      <c r="C18" s="319"/>
      <c r="D18" s="320"/>
      <c r="E18" s="144">
        <f>G18/100*'EGR2 2--copiar en word 1 EGR'!$C$11</f>
        <v>0</v>
      </c>
      <c r="F18" s="144">
        <f>G18/100*'EGR2 2--copiar en word 1 EGR'!$C$11</f>
        <v>0</v>
      </c>
      <c r="G18" s="156">
        <f>IF(G14&lt;0.2,0.2-G14,0)</f>
        <v>0</v>
      </c>
    </row>
    <row r="19" spans="2:9" x14ac:dyDescent="0.2">
      <c r="B19" s="318" t="s">
        <v>467</v>
      </c>
      <c r="C19" s="319"/>
      <c r="D19" s="320"/>
      <c r="E19" s="144">
        <f>G19/100*'EGR2 2--copiar en word 1 EGR'!$C$11</f>
        <v>423.70370874999998</v>
      </c>
      <c r="F19" s="144">
        <f>G19/100*'EGR2 2--copiar en word 1 EGR'!$C$11</f>
        <v>423.70370874999998</v>
      </c>
      <c r="G19" s="157">
        <v>0.1</v>
      </c>
    </row>
    <row r="20" spans="2:9" ht="13.5" thickBot="1" x14ac:dyDescent="0.25">
      <c r="B20" s="148"/>
      <c r="C20" s="148"/>
      <c r="D20" s="148"/>
      <c r="E20" s="148"/>
      <c r="F20" s="148"/>
      <c r="G20" s="148"/>
    </row>
    <row r="21" spans="2:9" ht="13.5" thickBot="1" x14ac:dyDescent="0.25">
      <c r="B21" s="321" t="s">
        <v>468</v>
      </c>
      <c r="C21" s="322"/>
      <c r="D21" s="323"/>
      <c r="E21" s="158">
        <f>E6+E10+E11+E12+E13+E17+E18+E19</f>
        <v>10401.364655852385</v>
      </c>
      <c r="F21" s="158">
        <f>F6+F10+F11+F12+F13+F17+F18+F19</f>
        <v>10401.364655852385</v>
      </c>
      <c r="G21" s="159">
        <f>G7+G14+G17+G18+G19</f>
        <v>2.4548675031753273</v>
      </c>
      <c r="I21" s="160"/>
    </row>
    <row r="23" spans="2:9" x14ac:dyDescent="0.2">
      <c r="E23" s="161"/>
      <c r="F23" s="161"/>
    </row>
    <row r="30" spans="2:9" x14ac:dyDescent="0.2">
      <c r="D30" s="136">
        <f>24/70</f>
        <v>0.34285714285714286</v>
      </c>
    </row>
  </sheetData>
  <mergeCells count="10">
    <mergeCell ref="B17:D17"/>
    <mergeCell ref="B18:D18"/>
    <mergeCell ref="B19:D19"/>
    <mergeCell ref="B21:D21"/>
    <mergeCell ref="B2:G2"/>
    <mergeCell ref="B5:G5"/>
    <mergeCell ref="B7:E7"/>
    <mergeCell ref="B9:G9"/>
    <mergeCell ref="B14:E14"/>
    <mergeCell ref="B16:G16"/>
  </mergeCells>
  <pageMargins left="0.75" right="0.75" top="1" bottom="1" header="0" footer="0"/>
  <pageSetup paperSize="9" scale="8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E1025-E019-460B-BAD6-27AD2DE58F9D}">
  <sheetPr>
    <tabColor rgb="FF92D050"/>
  </sheetPr>
  <dimension ref="A1:L82"/>
  <sheetViews>
    <sheetView zoomScaleNormal="100" workbookViewId="0">
      <selection activeCell="K27" sqref="K27"/>
    </sheetView>
  </sheetViews>
  <sheetFormatPr baseColWidth="10" defaultRowHeight="15" x14ac:dyDescent="0.25"/>
  <cols>
    <col min="1" max="1" width="10.5703125" customWidth="1"/>
    <col min="2" max="2" width="23.7109375" customWidth="1"/>
    <col min="3" max="3" width="14" customWidth="1"/>
    <col min="4" max="4" width="12.140625" customWidth="1"/>
    <col min="5" max="5" width="11.140625" customWidth="1"/>
    <col min="6" max="6" width="12" customWidth="1"/>
    <col min="7" max="7" width="10.140625" bestFit="1" customWidth="1"/>
    <col min="8" max="8" width="10.5703125" bestFit="1" customWidth="1"/>
    <col min="9" max="10" width="29.28515625" customWidth="1"/>
    <col min="12" max="12" width="64.42578125" customWidth="1"/>
  </cols>
  <sheetData>
    <row r="1" spans="1:12" x14ac:dyDescent="0.25">
      <c r="A1" s="195" t="s">
        <v>487</v>
      </c>
      <c r="B1" s="195" t="s">
        <v>541</v>
      </c>
    </row>
    <row r="2" spans="1:12" x14ac:dyDescent="0.25">
      <c r="A2" s="195"/>
      <c r="B2" s="195" t="s">
        <v>542</v>
      </c>
    </row>
    <row r="5" spans="1:12" ht="45.75" thickBot="1" x14ac:dyDescent="0.3">
      <c r="H5" s="7" t="s">
        <v>64</v>
      </c>
      <c r="I5" s="7" t="s">
        <v>65</v>
      </c>
      <c r="J5" s="7" t="s">
        <v>66</v>
      </c>
      <c r="K5" s="7" t="s">
        <v>67</v>
      </c>
      <c r="L5" s="7" t="s">
        <v>68</v>
      </c>
    </row>
    <row r="6" spans="1:12" ht="15.75" thickBot="1" x14ac:dyDescent="0.3">
      <c r="A6" s="342" t="s">
        <v>69</v>
      </c>
      <c r="B6" s="343"/>
      <c r="C6" s="343"/>
      <c r="D6" s="343"/>
      <c r="E6" s="343"/>
      <c r="F6" s="344"/>
      <c r="H6" s="2">
        <f>+J6*20</f>
        <v>80</v>
      </c>
      <c r="I6" s="194">
        <v>10</v>
      </c>
      <c r="J6" s="194">
        <v>4</v>
      </c>
      <c r="K6" s="2">
        <f>+ROUNDUP(J6/12,2)</f>
        <v>0.34</v>
      </c>
    </row>
    <row r="7" spans="1:12" ht="15.75" thickBot="1" x14ac:dyDescent="0.3"/>
    <row r="8" spans="1:12" x14ac:dyDescent="0.25">
      <c r="A8" s="345" t="s">
        <v>13</v>
      </c>
      <c r="B8" s="358" t="s">
        <v>14</v>
      </c>
      <c r="C8" s="345" t="s">
        <v>15</v>
      </c>
      <c r="D8" s="345" t="s">
        <v>16</v>
      </c>
      <c r="E8" s="347" t="s">
        <v>70</v>
      </c>
      <c r="F8" s="358" t="s">
        <v>17</v>
      </c>
      <c r="G8" s="5"/>
      <c r="H8" s="5"/>
    </row>
    <row r="9" spans="1:12" ht="15.75" thickBot="1" x14ac:dyDescent="0.3">
      <c r="A9" s="346"/>
      <c r="B9" s="359"/>
      <c r="C9" s="346"/>
      <c r="D9" s="346"/>
      <c r="E9" s="348"/>
      <c r="F9" s="359"/>
      <c r="G9" s="5"/>
      <c r="H9" s="5"/>
    </row>
    <row r="10" spans="1:12" ht="26.25" thickBot="1" x14ac:dyDescent="0.3">
      <c r="A10" s="8">
        <v>1</v>
      </c>
      <c r="B10" s="13" t="s">
        <v>75</v>
      </c>
      <c r="C10" s="10">
        <v>14</v>
      </c>
      <c r="D10" s="9">
        <v>57.33</v>
      </c>
      <c r="E10" s="9">
        <f>+J6</f>
        <v>4</v>
      </c>
      <c r="F10" s="11">
        <f>+C10*D10*E10</f>
        <v>3210.48</v>
      </c>
      <c r="G10" s="5"/>
      <c r="H10" s="5"/>
    </row>
    <row r="11" spans="1:12" ht="15.75" thickBot="1" x14ac:dyDescent="0.3">
      <c r="A11" s="8">
        <v>2</v>
      </c>
      <c r="B11" s="9" t="s">
        <v>18</v>
      </c>
      <c r="C11" s="10">
        <v>0.5</v>
      </c>
      <c r="D11" s="9">
        <v>344.01</v>
      </c>
      <c r="E11" s="9">
        <f>+J6</f>
        <v>4</v>
      </c>
      <c r="F11" s="11">
        <f>+C11*D11*E11</f>
        <v>688.02</v>
      </c>
      <c r="G11" s="5"/>
      <c r="H11" s="5"/>
    </row>
    <row r="12" spans="1:12" ht="15.75" thickBot="1" x14ac:dyDescent="0.3">
      <c r="A12" s="8">
        <v>3</v>
      </c>
      <c r="B12" s="9" t="s">
        <v>19</v>
      </c>
      <c r="C12" s="10">
        <v>0.5</v>
      </c>
      <c r="D12" s="9">
        <v>573.35</v>
      </c>
      <c r="E12" s="9">
        <f>+J6</f>
        <v>4</v>
      </c>
      <c r="F12" s="11">
        <f>+C12*D12*E12</f>
        <v>1146.7</v>
      </c>
      <c r="G12" s="5"/>
      <c r="H12" s="5"/>
    </row>
    <row r="13" spans="1:12" ht="15.75" thickBot="1" x14ac:dyDescent="0.3">
      <c r="A13" s="355" t="s">
        <v>8</v>
      </c>
      <c r="B13" s="356"/>
      <c r="C13" s="356"/>
      <c r="D13" s="356"/>
      <c r="E13" s="357"/>
      <c r="F13" s="34">
        <f>SUM(F10:F12)</f>
        <v>5045.2</v>
      </c>
      <c r="G13" s="5"/>
      <c r="H13" s="5"/>
    </row>
    <row r="14" spans="1:12" ht="15.75" thickBot="1" x14ac:dyDescent="0.3"/>
    <row r="15" spans="1:12" ht="15.75" thickBot="1" x14ac:dyDescent="0.3">
      <c r="A15" s="342" t="s">
        <v>20</v>
      </c>
      <c r="B15" s="343"/>
      <c r="C15" s="343"/>
      <c r="D15" s="343"/>
      <c r="E15" s="343"/>
      <c r="F15" s="344"/>
    </row>
    <row r="16" spans="1:12" ht="15.75" thickBot="1" x14ac:dyDescent="0.3"/>
    <row r="17" spans="1:10" x14ac:dyDescent="0.25">
      <c r="A17" s="345" t="s">
        <v>13</v>
      </c>
      <c r="B17" s="358" t="s">
        <v>14</v>
      </c>
      <c r="C17" s="345" t="s">
        <v>21</v>
      </c>
      <c r="D17" s="345" t="s">
        <v>16</v>
      </c>
      <c r="E17" s="347" t="s">
        <v>70</v>
      </c>
      <c r="F17" s="345" t="s">
        <v>17</v>
      </c>
      <c r="G17" s="5"/>
      <c r="H17" s="5"/>
    </row>
    <row r="18" spans="1:10" ht="15.75" thickBot="1" x14ac:dyDescent="0.3">
      <c r="A18" s="346"/>
      <c r="B18" s="359"/>
      <c r="C18" s="346"/>
      <c r="D18" s="346"/>
      <c r="E18" s="348"/>
      <c r="F18" s="346"/>
      <c r="G18" s="5"/>
      <c r="H18" s="5"/>
    </row>
    <row r="19" spans="1:10" ht="15.75" thickBot="1" x14ac:dyDescent="0.3">
      <c r="A19" s="12">
        <v>1</v>
      </c>
      <c r="B19" s="13" t="s">
        <v>22</v>
      </c>
      <c r="C19" s="13">
        <f>+I6</f>
        <v>10</v>
      </c>
      <c r="D19" s="14">
        <v>57.33</v>
      </c>
      <c r="E19" s="15">
        <f>+K6</f>
        <v>0.34</v>
      </c>
      <c r="F19" s="14">
        <f>+C19*D19*E19</f>
        <v>194.922</v>
      </c>
      <c r="G19" s="5"/>
      <c r="H19" s="5"/>
    </row>
    <row r="20" spans="1:10" ht="15.75" thickBot="1" x14ac:dyDescent="0.3">
      <c r="A20" s="338" t="s">
        <v>8</v>
      </c>
      <c r="B20" s="339"/>
      <c r="C20" s="339"/>
      <c r="D20" s="339"/>
      <c r="E20" s="340"/>
      <c r="F20" s="26">
        <f>+F19</f>
        <v>194.922</v>
      </c>
      <c r="G20" s="5"/>
      <c r="H20" s="5"/>
    </row>
    <row r="21" spans="1:10" ht="15.75" thickBot="1" x14ac:dyDescent="0.3"/>
    <row r="22" spans="1:10" ht="15.75" thickBot="1" x14ac:dyDescent="0.3">
      <c r="A22" s="342" t="s">
        <v>23</v>
      </c>
      <c r="B22" s="343"/>
      <c r="C22" s="343"/>
      <c r="D22" s="343"/>
      <c r="E22" s="343"/>
      <c r="F22" s="343"/>
      <c r="G22" s="344"/>
    </row>
    <row r="23" spans="1:10" ht="15.75" thickBot="1" x14ac:dyDescent="0.3">
      <c r="A23" s="16"/>
      <c r="B23" s="16"/>
      <c r="C23" s="16"/>
      <c r="D23" s="16"/>
      <c r="E23" s="16"/>
      <c r="F23" s="16"/>
      <c r="G23" s="16"/>
    </row>
    <row r="24" spans="1:10" ht="15.75" x14ac:dyDescent="0.25">
      <c r="A24" s="345" t="s">
        <v>13</v>
      </c>
      <c r="B24" s="345" t="s">
        <v>14</v>
      </c>
      <c r="C24" s="345" t="s">
        <v>24</v>
      </c>
      <c r="D24" s="345" t="s">
        <v>25</v>
      </c>
      <c r="E24" s="345" t="s">
        <v>26</v>
      </c>
      <c r="F24" s="347" t="s">
        <v>70</v>
      </c>
      <c r="G24" s="345" t="s">
        <v>17</v>
      </c>
      <c r="H24" s="6"/>
      <c r="I24" s="6"/>
      <c r="J24" s="5"/>
    </row>
    <row r="25" spans="1:10" ht="15.75" thickBot="1" x14ac:dyDescent="0.3">
      <c r="A25" s="353"/>
      <c r="B25" s="353"/>
      <c r="C25" s="353"/>
      <c r="D25" s="353"/>
      <c r="E25" s="353"/>
      <c r="F25" s="354"/>
      <c r="G25" s="353"/>
      <c r="J25" s="5"/>
    </row>
    <row r="26" spans="1:10" ht="26.25" thickBot="1" x14ac:dyDescent="0.3">
      <c r="A26" s="18">
        <v>1</v>
      </c>
      <c r="B26" s="19" t="s">
        <v>76</v>
      </c>
      <c r="C26" s="19">
        <v>0.1</v>
      </c>
      <c r="D26" s="19">
        <v>7166.82</v>
      </c>
      <c r="E26" s="19">
        <f>I6</f>
        <v>10</v>
      </c>
      <c r="F26" s="20">
        <f>+K6/3</f>
        <v>0.11333333333333334</v>
      </c>
      <c r="G26" s="21">
        <f>C26*D26*E26*F26</f>
        <v>812.2396</v>
      </c>
      <c r="H26" s="17"/>
      <c r="I26" s="5"/>
      <c r="J26" s="5"/>
    </row>
    <row r="27" spans="1:10" ht="16.5" thickBot="1" x14ac:dyDescent="0.3">
      <c r="A27" s="18">
        <v>2</v>
      </c>
      <c r="B27" s="19" t="s">
        <v>27</v>
      </c>
      <c r="C27" s="19">
        <v>0.25</v>
      </c>
      <c r="D27" s="19">
        <v>86</v>
      </c>
      <c r="E27" s="19">
        <f>I6</f>
        <v>10</v>
      </c>
      <c r="F27" s="20">
        <f>+K6</f>
        <v>0.34</v>
      </c>
      <c r="G27" s="21">
        <f>+C27*D27*E27*F27</f>
        <v>73.100000000000009</v>
      </c>
      <c r="H27" s="17"/>
      <c r="I27" s="5"/>
      <c r="J27" s="5"/>
    </row>
    <row r="28" spans="1:10" ht="26.25" thickBot="1" x14ac:dyDescent="0.3">
      <c r="A28" s="18">
        <v>3</v>
      </c>
      <c r="B28" s="19" t="s">
        <v>77</v>
      </c>
      <c r="C28" s="19">
        <v>0.25</v>
      </c>
      <c r="D28" s="19">
        <v>28.67</v>
      </c>
      <c r="E28" s="19">
        <f>I6</f>
        <v>10</v>
      </c>
      <c r="F28" s="20">
        <f>+K6</f>
        <v>0.34</v>
      </c>
      <c r="G28" s="21">
        <f>+C28*D28*E28*F28</f>
        <v>24.369500000000006</v>
      </c>
      <c r="H28" s="22"/>
      <c r="I28" s="5"/>
      <c r="J28" s="5"/>
    </row>
    <row r="29" spans="1:10" ht="16.5" thickBot="1" x14ac:dyDescent="0.3">
      <c r="A29" s="18">
        <v>4</v>
      </c>
      <c r="B29" s="19" t="s">
        <v>28</v>
      </c>
      <c r="C29" s="19">
        <v>1</v>
      </c>
      <c r="D29" s="19">
        <v>21.5</v>
      </c>
      <c r="E29" s="19">
        <f>I6</f>
        <v>10</v>
      </c>
      <c r="F29" s="20">
        <f>+K6</f>
        <v>0.34</v>
      </c>
      <c r="G29" s="21">
        <f t="shared" ref="G29:G36" si="0">+C29*D29*E29*F29</f>
        <v>73.100000000000009</v>
      </c>
      <c r="H29" s="17"/>
      <c r="I29" s="5"/>
      <c r="J29" s="5"/>
    </row>
    <row r="30" spans="1:10" ht="16.5" thickBot="1" x14ac:dyDescent="0.3">
      <c r="A30" s="18">
        <v>5</v>
      </c>
      <c r="B30" s="19" t="s">
        <v>29</v>
      </c>
      <c r="C30" s="19">
        <v>0.5</v>
      </c>
      <c r="D30" s="19">
        <v>57.33</v>
      </c>
      <c r="E30" s="19">
        <f>I6</f>
        <v>10</v>
      </c>
      <c r="F30" s="20">
        <f>+K6/3</f>
        <v>0.11333333333333334</v>
      </c>
      <c r="G30" s="21">
        <f t="shared" si="0"/>
        <v>32.487000000000002</v>
      </c>
      <c r="H30" s="22"/>
      <c r="I30" s="5"/>
      <c r="J30" s="5"/>
    </row>
    <row r="31" spans="1:10" ht="16.5" thickBot="1" x14ac:dyDescent="0.3">
      <c r="A31" s="18">
        <v>6</v>
      </c>
      <c r="B31" s="19" t="s">
        <v>30</v>
      </c>
      <c r="C31" s="19">
        <v>0.15</v>
      </c>
      <c r="D31" s="19">
        <v>2866.73</v>
      </c>
      <c r="E31" s="19">
        <f>I6</f>
        <v>10</v>
      </c>
      <c r="F31" s="20">
        <f>+K6</f>
        <v>0.34</v>
      </c>
      <c r="G31" s="21">
        <f t="shared" si="0"/>
        <v>1462.0323000000003</v>
      </c>
      <c r="H31" s="17"/>
      <c r="I31" s="5"/>
      <c r="J31" s="5"/>
    </row>
    <row r="32" spans="1:10" ht="16.5" thickBot="1" x14ac:dyDescent="0.3">
      <c r="A32" s="18">
        <v>7</v>
      </c>
      <c r="B32" s="19" t="s">
        <v>31</v>
      </c>
      <c r="C32" s="19">
        <v>0.25</v>
      </c>
      <c r="D32" s="19">
        <v>95.56</v>
      </c>
      <c r="E32" s="19">
        <f>I6</f>
        <v>10</v>
      </c>
      <c r="F32" s="20">
        <f>+K6</f>
        <v>0.34</v>
      </c>
      <c r="G32" s="21">
        <f t="shared" si="0"/>
        <v>81.226000000000013</v>
      </c>
      <c r="H32" s="17"/>
      <c r="I32" s="5"/>
      <c r="J32" s="5"/>
    </row>
    <row r="33" spans="1:10" ht="16.5" thickBot="1" x14ac:dyDescent="0.3">
      <c r="A33" s="18">
        <v>8</v>
      </c>
      <c r="B33" s="19" t="s">
        <v>32</v>
      </c>
      <c r="C33" s="19">
        <v>0.5</v>
      </c>
      <c r="D33" s="19">
        <v>114.67</v>
      </c>
      <c r="E33" s="19">
        <f>I6</f>
        <v>10</v>
      </c>
      <c r="F33" s="20">
        <f>+K6</f>
        <v>0.34</v>
      </c>
      <c r="G33" s="21">
        <f t="shared" si="0"/>
        <v>194.93900000000002</v>
      </c>
      <c r="H33" s="17"/>
      <c r="I33" s="5"/>
      <c r="J33" s="5"/>
    </row>
    <row r="34" spans="1:10" ht="26.25" thickBot="1" x14ac:dyDescent="0.3">
      <c r="A34" s="18">
        <v>9</v>
      </c>
      <c r="B34" s="19" t="s">
        <v>33</v>
      </c>
      <c r="C34" s="19">
        <v>30</v>
      </c>
      <c r="D34" s="19">
        <v>0.36</v>
      </c>
      <c r="E34" s="19">
        <f>I6</f>
        <v>10</v>
      </c>
      <c r="F34" s="20">
        <f>+K6</f>
        <v>0.34</v>
      </c>
      <c r="G34" s="21">
        <f t="shared" si="0"/>
        <v>36.72</v>
      </c>
      <c r="H34" s="22"/>
      <c r="I34" s="5"/>
      <c r="J34" s="5"/>
    </row>
    <row r="35" spans="1:10" ht="16.5" thickBot="1" x14ac:dyDescent="0.3">
      <c r="A35" s="18">
        <v>10</v>
      </c>
      <c r="B35" s="19" t="s">
        <v>34</v>
      </c>
      <c r="C35" s="19">
        <v>0.25</v>
      </c>
      <c r="D35" s="19">
        <v>32</v>
      </c>
      <c r="E35" s="19">
        <f>I6</f>
        <v>10</v>
      </c>
      <c r="F35" s="20">
        <f>+K6</f>
        <v>0.34</v>
      </c>
      <c r="G35" s="21">
        <f t="shared" si="0"/>
        <v>27.200000000000003</v>
      </c>
      <c r="H35" s="22"/>
      <c r="I35" s="5"/>
      <c r="J35" s="5"/>
    </row>
    <row r="36" spans="1:10" ht="16.5" thickBot="1" x14ac:dyDescent="0.3">
      <c r="A36" s="18">
        <v>11</v>
      </c>
      <c r="B36" s="19" t="s">
        <v>35</v>
      </c>
      <c r="C36" s="19">
        <v>0.5</v>
      </c>
      <c r="D36" s="19">
        <v>226.95</v>
      </c>
      <c r="E36" s="19">
        <f>I6</f>
        <v>10</v>
      </c>
      <c r="F36" s="20">
        <f>+K6</f>
        <v>0.34</v>
      </c>
      <c r="G36" s="21">
        <f t="shared" si="0"/>
        <v>385.81500000000005</v>
      </c>
      <c r="H36" s="17"/>
      <c r="I36" s="5"/>
      <c r="J36" s="5"/>
    </row>
    <row r="37" spans="1:10" ht="16.5" thickBot="1" x14ac:dyDescent="0.3">
      <c r="A37" s="349" t="s">
        <v>8</v>
      </c>
      <c r="B37" s="350"/>
      <c r="C37" s="350"/>
      <c r="D37" s="350"/>
      <c r="E37" s="350"/>
      <c r="F37" s="351"/>
      <c r="G37" s="35">
        <f>SUM(G26:G36)</f>
        <v>3203.2284</v>
      </c>
      <c r="H37" s="17"/>
      <c r="I37" s="5"/>
      <c r="J37" s="5"/>
    </row>
    <row r="38" spans="1:10" ht="15.75" thickBot="1" x14ac:dyDescent="0.3">
      <c r="A38" s="16"/>
      <c r="B38" s="16"/>
      <c r="C38" s="16"/>
      <c r="D38" s="16"/>
      <c r="E38" s="16"/>
      <c r="F38" s="16"/>
      <c r="G38" s="16"/>
    </row>
    <row r="39" spans="1:10" ht="15.75" thickBot="1" x14ac:dyDescent="0.3">
      <c r="A39" s="342" t="s">
        <v>36</v>
      </c>
      <c r="B39" s="343"/>
      <c r="C39" s="343"/>
      <c r="D39" s="343"/>
      <c r="E39" s="343"/>
      <c r="F39" s="343"/>
      <c r="G39" s="343"/>
      <c r="H39" s="24"/>
    </row>
    <row r="40" spans="1:10" ht="15.75" thickBot="1" x14ac:dyDescent="0.3"/>
    <row r="41" spans="1:10" x14ac:dyDescent="0.25">
      <c r="A41" s="345" t="s">
        <v>13</v>
      </c>
      <c r="B41" s="345" t="s">
        <v>14</v>
      </c>
      <c r="C41" s="345" t="s">
        <v>24</v>
      </c>
      <c r="D41" s="345" t="s">
        <v>25</v>
      </c>
      <c r="E41" s="345" t="s">
        <v>26</v>
      </c>
      <c r="F41" s="347" t="s">
        <v>70</v>
      </c>
      <c r="G41" s="345" t="s">
        <v>17</v>
      </c>
      <c r="H41" s="5"/>
      <c r="I41" s="5"/>
    </row>
    <row r="42" spans="1:10" ht="15.75" thickBot="1" x14ac:dyDescent="0.3">
      <c r="A42" s="352"/>
      <c r="B42" s="352"/>
      <c r="C42" s="352"/>
      <c r="D42" s="352"/>
      <c r="E42" s="352"/>
      <c r="F42" s="348"/>
      <c r="G42" s="352"/>
      <c r="H42" s="5"/>
      <c r="I42" s="5"/>
    </row>
    <row r="43" spans="1:10" ht="16.5" thickBot="1" x14ac:dyDescent="0.3">
      <c r="A43" s="12">
        <v>1</v>
      </c>
      <c r="B43" s="13" t="s">
        <v>37</v>
      </c>
      <c r="C43" s="13">
        <v>1.25</v>
      </c>
      <c r="D43" s="13">
        <v>8.6</v>
      </c>
      <c r="E43" s="13">
        <f>+$I$6</f>
        <v>10</v>
      </c>
      <c r="F43" s="13">
        <f>+$K$6</f>
        <v>0.34</v>
      </c>
      <c r="G43" s="25">
        <f>C43*D43*E43*F43</f>
        <v>36.550000000000004</v>
      </c>
      <c r="H43" s="22"/>
      <c r="I43" s="5"/>
    </row>
    <row r="44" spans="1:10" ht="16.5" thickBot="1" x14ac:dyDescent="0.3">
      <c r="A44" s="12">
        <v>2</v>
      </c>
      <c r="B44" s="13" t="s">
        <v>38</v>
      </c>
      <c r="C44" s="13">
        <v>1</v>
      </c>
      <c r="D44" s="13">
        <v>43</v>
      </c>
      <c r="E44" s="13">
        <f>+$I$6</f>
        <v>10</v>
      </c>
      <c r="F44" s="13">
        <f t="shared" ref="F44:F62" si="1">+$K$6</f>
        <v>0.34</v>
      </c>
      <c r="G44" s="25">
        <f t="shared" ref="G44:G62" si="2">C44*D44*E44*F44</f>
        <v>146.20000000000002</v>
      </c>
      <c r="H44" s="17"/>
      <c r="I44" s="5"/>
    </row>
    <row r="45" spans="1:10" ht="16.5" thickBot="1" x14ac:dyDescent="0.3">
      <c r="A45" s="12">
        <v>3</v>
      </c>
      <c r="B45" s="13" t="s">
        <v>39</v>
      </c>
      <c r="C45" s="13">
        <v>1</v>
      </c>
      <c r="D45" s="13">
        <v>43</v>
      </c>
      <c r="E45" s="13">
        <f t="shared" ref="E45:E62" si="3">+$I$6</f>
        <v>10</v>
      </c>
      <c r="F45" s="13">
        <f t="shared" si="1"/>
        <v>0.34</v>
      </c>
      <c r="G45" s="25">
        <f t="shared" si="2"/>
        <v>146.20000000000002</v>
      </c>
      <c r="H45" s="17"/>
      <c r="I45" s="5"/>
    </row>
    <row r="46" spans="1:10" ht="16.5" thickBot="1" x14ac:dyDescent="0.3">
      <c r="A46" s="12">
        <v>4</v>
      </c>
      <c r="B46" s="13" t="s">
        <v>40</v>
      </c>
      <c r="C46" s="13">
        <v>1</v>
      </c>
      <c r="D46" s="13">
        <v>43</v>
      </c>
      <c r="E46" s="13">
        <f t="shared" si="3"/>
        <v>10</v>
      </c>
      <c r="F46" s="13">
        <f t="shared" si="1"/>
        <v>0.34</v>
      </c>
      <c r="G46" s="25">
        <f t="shared" si="2"/>
        <v>146.20000000000002</v>
      </c>
      <c r="H46" s="17"/>
      <c r="I46" s="5"/>
    </row>
    <row r="47" spans="1:10" ht="16.5" thickBot="1" x14ac:dyDescent="0.3">
      <c r="A47" s="12">
        <v>5</v>
      </c>
      <c r="B47" s="13" t="s">
        <v>41</v>
      </c>
      <c r="C47" s="13">
        <v>12</v>
      </c>
      <c r="D47" s="13">
        <v>7.17</v>
      </c>
      <c r="E47" s="13">
        <f t="shared" si="3"/>
        <v>10</v>
      </c>
      <c r="F47" s="13">
        <f>+$K$6</f>
        <v>0.34</v>
      </c>
      <c r="G47" s="25">
        <f t="shared" si="2"/>
        <v>292.536</v>
      </c>
      <c r="H47" s="17"/>
      <c r="I47" s="5"/>
    </row>
    <row r="48" spans="1:10" ht="16.5" thickBot="1" x14ac:dyDescent="0.3">
      <c r="A48" s="12">
        <v>6</v>
      </c>
      <c r="B48" s="13" t="s">
        <v>42</v>
      </c>
      <c r="C48" s="13">
        <v>3</v>
      </c>
      <c r="D48" s="13">
        <v>7.17</v>
      </c>
      <c r="E48" s="13">
        <f t="shared" si="3"/>
        <v>10</v>
      </c>
      <c r="F48" s="13">
        <f t="shared" si="1"/>
        <v>0.34</v>
      </c>
      <c r="G48" s="25">
        <f t="shared" si="2"/>
        <v>73.134</v>
      </c>
      <c r="H48" s="17"/>
      <c r="I48" s="5"/>
    </row>
    <row r="49" spans="1:9" ht="16.5" thickBot="1" x14ac:dyDescent="0.3">
      <c r="A49" s="12">
        <v>7</v>
      </c>
      <c r="B49" s="13" t="s">
        <v>43</v>
      </c>
      <c r="C49" s="13">
        <v>1</v>
      </c>
      <c r="D49" s="13">
        <v>86.15</v>
      </c>
      <c r="E49" s="13">
        <f t="shared" si="3"/>
        <v>10</v>
      </c>
      <c r="F49" s="13">
        <f t="shared" si="1"/>
        <v>0.34</v>
      </c>
      <c r="G49" s="25">
        <f t="shared" si="2"/>
        <v>292.91000000000003</v>
      </c>
      <c r="H49" s="17"/>
      <c r="I49" s="5"/>
    </row>
    <row r="50" spans="1:9" ht="16.5" thickBot="1" x14ac:dyDescent="0.3">
      <c r="A50" s="12">
        <v>8</v>
      </c>
      <c r="B50" s="13" t="s">
        <v>44</v>
      </c>
      <c r="C50" s="13">
        <v>1</v>
      </c>
      <c r="D50" s="13">
        <v>28.67</v>
      </c>
      <c r="E50" s="13">
        <f t="shared" si="3"/>
        <v>10</v>
      </c>
      <c r="F50" s="13">
        <f t="shared" si="1"/>
        <v>0.34</v>
      </c>
      <c r="G50" s="25">
        <f t="shared" si="2"/>
        <v>97.478000000000023</v>
      </c>
      <c r="H50" s="17"/>
      <c r="I50" s="5"/>
    </row>
    <row r="51" spans="1:9" ht="26.25" thickBot="1" x14ac:dyDescent="0.3">
      <c r="A51" s="12">
        <v>9</v>
      </c>
      <c r="B51" s="13" t="s">
        <v>45</v>
      </c>
      <c r="C51" s="13">
        <v>6</v>
      </c>
      <c r="D51" s="13">
        <v>4.3</v>
      </c>
      <c r="E51" s="13">
        <f t="shared" si="3"/>
        <v>10</v>
      </c>
      <c r="F51" s="13">
        <f t="shared" si="1"/>
        <v>0.34</v>
      </c>
      <c r="G51" s="25">
        <f t="shared" si="2"/>
        <v>87.720000000000013</v>
      </c>
      <c r="H51" s="17"/>
      <c r="I51" s="5"/>
    </row>
    <row r="52" spans="1:9" ht="16.5" thickBot="1" x14ac:dyDescent="0.3">
      <c r="A52" s="12">
        <v>10</v>
      </c>
      <c r="B52" s="13" t="s">
        <v>46</v>
      </c>
      <c r="C52" s="13">
        <v>2</v>
      </c>
      <c r="D52" s="13">
        <v>17.2</v>
      </c>
      <c r="E52" s="13">
        <f t="shared" si="3"/>
        <v>10</v>
      </c>
      <c r="F52" s="13">
        <f t="shared" si="1"/>
        <v>0.34</v>
      </c>
      <c r="G52" s="25">
        <f t="shared" si="2"/>
        <v>116.96000000000001</v>
      </c>
      <c r="H52" s="17"/>
      <c r="I52" s="5"/>
    </row>
    <row r="53" spans="1:9" ht="16.5" thickBot="1" x14ac:dyDescent="0.3">
      <c r="A53" s="12">
        <v>11</v>
      </c>
      <c r="B53" s="13" t="s">
        <v>47</v>
      </c>
      <c r="C53" s="13">
        <v>1</v>
      </c>
      <c r="D53" s="13">
        <v>31.06</v>
      </c>
      <c r="E53" s="13">
        <f t="shared" si="3"/>
        <v>10</v>
      </c>
      <c r="F53" s="13">
        <f t="shared" si="1"/>
        <v>0.34</v>
      </c>
      <c r="G53" s="25">
        <f t="shared" si="2"/>
        <v>105.604</v>
      </c>
      <c r="H53" s="17"/>
      <c r="I53" s="5"/>
    </row>
    <row r="54" spans="1:9" ht="16.5" thickBot="1" x14ac:dyDescent="0.3">
      <c r="A54" s="12">
        <v>12</v>
      </c>
      <c r="B54" s="13" t="s">
        <v>48</v>
      </c>
      <c r="C54" s="13">
        <v>1</v>
      </c>
      <c r="D54" s="13">
        <v>45.39</v>
      </c>
      <c r="E54" s="13">
        <f t="shared" si="3"/>
        <v>10</v>
      </c>
      <c r="F54" s="13">
        <f t="shared" si="1"/>
        <v>0.34</v>
      </c>
      <c r="G54" s="25">
        <f t="shared" si="2"/>
        <v>154.32599999999999</v>
      </c>
      <c r="H54" s="17"/>
      <c r="I54" s="5"/>
    </row>
    <row r="55" spans="1:9" ht="16.5" thickBot="1" x14ac:dyDescent="0.3">
      <c r="A55" s="12">
        <v>13</v>
      </c>
      <c r="B55" s="13" t="s">
        <v>49</v>
      </c>
      <c r="C55" s="13">
        <v>1</v>
      </c>
      <c r="D55" s="13">
        <v>29.86</v>
      </c>
      <c r="E55" s="13">
        <f t="shared" si="3"/>
        <v>10</v>
      </c>
      <c r="F55" s="13">
        <f t="shared" si="1"/>
        <v>0.34</v>
      </c>
      <c r="G55" s="25">
        <f t="shared" si="2"/>
        <v>101.52400000000002</v>
      </c>
      <c r="H55" s="17"/>
      <c r="I55" s="5"/>
    </row>
    <row r="56" spans="1:9" ht="16.5" thickBot="1" x14ac:dyDescent="0.3">
      <c r="A56" s="12">
        <v>14</v>
      </c>
      <c r="B56" s="13" t="s">
        <v>50</v>
      </c>
      <c r="C56" s="13">
        <v>1</v>
      </c>
      <c r="D56" s="13">
        <v>35.83</v>
      </c>
      <c r="E56" s="13">
        <f t="shared" si="3"/>
        <v>10</v>
      </c>
      <c r="F56" s="13">
        <f t="shared" si="1"/>
        <v>0.34</v>
      </c>
      <c r="G56" s="25">
        <f t="shared" si="2"/>
        <v>121.82199999999999</v>
      </c>
      <c r="H56" s="17"/>
      <c r="I56" s="5"/>
    </row>
    <row r="57" spans="1:9" ht="16.5" thickBot="1" x14ac:dyDescent="0.3">
      <c r="A57" s="12">
        <v>15</v>
      </c>
      <c r="B57" s="13" t="s">
        <v>51</v>
      </c>
      <c r="C57" s="13">
        <v>0.5</v>
      </c>
      <c r="D57" s="13">
        <v>86</v>
      </c>
      <c r="E57" s="13">
        <f t="shared" si="3"/>
        <v>10</v>
      </c>
      <c r="F57" s="13">
        <f t="shared" si="1"/>
        <v>0.34</v>
      </c>
      <c r="G57" s="25">
        <f t="shared" si="2"/>
        <v>146.20000000000002</v>
      </c>
      <c r="H57" s="17"/>
      <c r="I57" s="5"/>
    </row>
    <row r="58" spans="1:9" ht="16.5" thickBot="1" x14ac:dyDescent="0.3">
      <c r="A58" s="12">
        <v>16</v>
      </c>
      <c r="B58" s="13" t="s">
        <v>52</v>
      </c>
      <c r="C58" s="13">
        <v>0.5</v>
      </c>
      <c r="D58" s="13">
        <v>201.01</v>
      </c>
      <c r="E58" s="13">
        <f t="shared" si="3"/>
        <v>10</v>
      </c>
      <c r="F58" s="13">
        <f t="shared" si="1"/>
        <v>0.34</v>
      </c>
      <c r="G58" s="25">
        <f t="shared" si="2"/>
        <v>341.71699999999998</v>
      </c>
      <c r="H58" s="17"/>
      <c r="I58" s="5"/>
    </row>
    <row r="59" spans="1:9" ht="16.5" thickBot="1" x14ac:dyDescent="0.3">
      <c r="A59" s="12">
        <v>17</v>
      </c>
      <c r="B59" s="13" t="s">
        <v>53</v>
      </c>
      <c r="C59" s="13">
        <v>1.25</v>
      </c>
      <c r="D59" s="13">
        <v>47.78</v>
      </c>
      <c r="E59" s="13">
        <f t="shared" si="3"/>
        <v>10</v>
      </c>
      <c r="F59" s="13">
        <f t="shared" si="1"/>
        <v>0.34</v>
      </c>
      <c r="G59" s="25">
        <f t="shared" si="2"/>
        <v>203.06500000000003</v>
      </c>
      <c r="H59" s="17"/>
      <c r="I59" s="5"/>
    </row>
    <row r="60" spans="1:9" ht="16.5" thickBot="1" x14ac:dyDescent="0.3">
      <c r="A60" s="12">
        <v>18</v>
      </c>
      <c r="B60" s="13" t="s">
        <v>54</v>
      </c>
      <c r="C60" s="13">
        <v>1.25</v>
      </c>
      <c r="D60" s="13">
        <v>25.8</v>
      </c>
      <c r="E60" s="13">
        <f t="shared" si="3"/>
        <v>10</v>
      </c>
      <c r="F60" s="13">
        <f t="shared" si="1"/>
        <v>0.34</v>
      </c>
      <c r="G60" s="25">
        <f t="shared" si="2"/>
        <v>109.65</v>
      </c>
      <c r="H60" s="17"/>
      <c r="I60" s="5"/>
    </row>
    <row r="61" spans="1:9" ht="16.5" thickBot="1" x14ac:dyDescent="0.3">
      <c r="A61" s="12">
        <v>19</v>
      </c>
      <c r="B61" s="13" t="s">
        <v>55</v>
      </c>
      <c r="C61" s="13">
        <v>1</v>
      </c>
      <c r="D61" s="13">
        <v>71.67</v>
      </c>
      <c r="E61" s="13">
        <f t="shared" si="3"/>
        <v>10</v>
      </c>
      <c r="F61" s="13">
        <f t="shared" si="1"/>
        <v>0.34</v>
      </c>
      <c r="G61" s="25">
        <f t="shared" si="2"/>
        <v>243.67800000000003</v>
      </c>
      <c r="H61" s="17"/>
      <c r="I61" s="5"/>
    </row>
    <row r="62" spans="1:9" ht="16.5" thickBot="1" x14ac:dyDescent="0.3">
      <c r="A62" s="12">
        <v>20</v>
      </c>
      <c r="B62" s="13" t="s">
        <v>56</v>
      </c>
      <c r="C62" s="13">
        <v>0.5</v>
      </c>
      <c r="D62" s="13">
        <v>50.17</v>
      </c>
      <c r="E62" s="13">
        <f t="shared" si="3"/>
        <v>10</v>
      </c>
      <c r="F62" s="13">
        <f t="shared" si="1"/>
        <v>0.34</v>
      </c>
      <c r="G62" s="25">
        <f t="shared" si="2"/>
        <v>85.289000000000016</v>
      </c>
      <c r="H62" s="17"/>
      <c r="I62" s="5"/>
    </row>
    <row r="63" spans="1:9" ht="16.5" thickBot="1" x14ac:dyDescent="0.3">
      <c r="A63" s="338" t="s">
        <v>8</v>
      </c>
      <c r="B63" s="339"/>
      <c r="C63" s="339"/>
      <c r="D63" s="339"/>
      <c r="E63" s="339"/>
      <c r="F63" s="341"/>
      <c r="G63" s="35">
        <f>SUM(G43:G62)</f>
        <v>3048.7630000000008</v>
      </c>
      <c r="H63" s="17"/>
      <c r="I63" s="5"/>
    </row>
    <row r="64" spans="1:9" ht="15.75" thickBot="1" x14ac:dyDescent="0.3"/>
    <row r="65" spans="1:6" ht="15.75" thickBot="1" x14ac:dyDescent="0.3">
      <c r="A65" s="342" t="s">
        <v>57</v>
      </c>
      <c r="B65" s="343"/>
      <c r="C65" s="343"/>
      <c r="D65" s="343"/>
      <c r="E65" s="344"/>
    </row>
    <row r="66" spans="1:6" ht="15.75" thickBot="1" x14ac:dyDescent="0.3">
      <c r="A66" s="16"/>
      <c r="B66" s="16"/>
      <c r="C66" s="16"/>
      <c r="D66" s="16"/>
      <c r="E66" s="16"/>
    </row>
    <row r="67" spans="1:6" x14ac:dyDescent="0.25">
      <c r="A67" s="345" t="s">
        <v>13</v>
      </c>
      <c r="B67" s="345" t="s">
        <v>14</v>
      </c>
      <c r="C67" s="345" t="s">
        <v>25</v>
      </c>
      <c r="D67" s="347" t="s">
        <v>70</v>
      </c>
      <c r="E67" s="345" t="s">
        <v>17</v>
      </c>
      <c r="F67" s="5"/>
    </row>
    <row r="68" spans="1:6" ht="15.75" thickBot="1" x14ac:dyDescent="0.3">
      <c r="A68" s="346"/>
      <c r="B68" s="346"/>
      <c r="C68" s="346"/>
      <c r="D68" s="348"/>
      <c r="E68" s="346"/>
      <c r="F68" s="5"/>
    </row>
    <row r="69" spans="1:6" ht="26.25" thickBot="1" x14ac:dyDescent="0.3">
      <c r="A69" s="12">
        <v>1</v>
      </c>
      <c r="B69" s="13" t="s">
        <v>58</v>
      </c>
      <c r="C69" s="13">
        <v>860.02</v>
      </c>
      <c r="D69" s="13">
        <f>J6</f>
        <v>4</v>
      </c>
      <c r="E69" s="23">
        <f>C69*D69</f>
        <v>3440.08</v>
      </c>
      <c r="F69" s="5"/>
    </row>
    <row r="70" spans="1:6" ht="39" thickBot="1" x14ac:dyDescent="0.3">
      <c r="A70" s="12">
        <v>2</v>
      </c>
      <c r="B70" s="13" t="s">
        <v>59</v>
      </c>
      <c r="C70" s="13">
        <v>860.02</v>
      </c>
      <c r="D70" s="13">
        <f>J6</f>
        <v>4</v>
      </c>
      <c r="E70" s="23">
        <f>C70*D70</f>
        <v>3440.08</v>
      </c>
      <c r="F70" s="5"/>
    </row>
    <row r="71" spans="1:6" ht="15.75" thickBot="1" x14ac:dyDescent="0.3">
      <c r="A71" s="12">
        <v>3</v>
      </c>
      <c r="B71" s="13" t="s">
        <v>60</v>
      </c>
      <c r="C71" s="13">
        <v>215</v>
      </c>
      <c r="D71" s="13" t="s">
        <v>61</v>
      </c>
      <c r="E71" s="13">
        <v>215</v>
      </c>
      <c r="F71" s="5"/>
    </row>
    <row r="72" spans="1:6" ht="15.75" thickBot="1" x14ac:dyDescent="0.3">
      <c r="A72" s="338" t="s">
        <v>8</v>
      </c>
      <c r="B72" s="339"/>
      <c r="C72" s="339"/>
      <c r="D72" s="340"/>
      <c r="E72" s="35">
        <f>SUM(E69:E71)</f>
        <v>7095.16</v>
      </c>
      <c r="F72" s="5"/>
    </row>
    <row r="75" spans="1:6" ht="15.75" thickBot="1" x14ac:dyDescent="0.3"/>
    <row r="76" spans="1:6" x14ac:dyDescent="0.25">
      <c r="A76" s="30" t="s">
        <v>0</v>
      </c>
      <c r="B76" s="31" t="s">
        <v>73</v>
      </c>
    </row>
    <row r="77" spans="1:6" ht="25.5" x14ac:dyDescent="0.25">
      <c r="A77" s="27" t="s">
        <v>62</v>
      </c>
      <c r="B77" s="28">
        <f>+F13</f>
        <v>5045.2</v>
      </c>
    </row>
    <row r="78" spans="1:6" ht="25.5" x14ac:dyDescent="0.25">
      <c r="A78" s="27" t="s">
        <v>20</v>
      </c>
      <c r="B78" s="28">
        <f>+F20</f>
        <v>194.922</v>
      </c>
    </row>
    <row r="79" spans="1:6" ht="25.5" x14ac:dyDescent="0.25">
      <c r="A79" s="27" t="s">
        <v>23</v>
      </c>
      <c r="B79" s="28">
        <f>+G37</f>
        <v>3203.2284</v>
      </c>
    </row>
    <row r="80" spans="1:6" ht="51" x14ac:dyDescent="0.25">
      <c r="A80" s="27" t="s">
        <v>36</v>
      </c>
      <c r="B80" s="28">
        <f>+G63</f>
        <v>3048.7630000000008</v>
      </c>
    </row>
    <row r="81" spans="1:2" ht="63.75" x14ac:dyDescent="0.25">
      <c r="A81" s="27" t="s">
        <v>57</v>
      </c>
      <c r="B81" s="28">
        <f>+E72</f>
        <v>7095.16</v>
      </c>
    </row>
    <row r="82" spans="1:2" ht="64.5" thickBot="1" x14ac:dyDescent="0.3">
      <c r="A82" s="32" t="s">
        <v>611</v>
      </c>
      <c r="B82" s="29">
        <f>SUM(B77:B81)</f>
        <v>18587.273399999998</v>
      </c>
    </row>
  </sheetData>
  <mergeCells count="41">
    <mergeCell ref="A6:F6"/>
    <mergeCell ref="A8:A9"/>
    <mergeCell ref="B8:B9"/>
    <mergeCell ref="C8:C9"/>
    <mergeCell ref="D8:D9"/>
    <mergeCell ref="E8:E9"/>
    <mergeCell ref="F8:F9"/>
    <mergeCell ref="A13:E13"/>
    <mergeCell ref="A15:F15"/>
    <mergeCell ref="A17:A18"/>
    <mergeCell ref="B17:B18"/>
    <mergeCell ref="C17:C18"/>
    <mergeCell ref="D17:D18"/>
    <mergeCell ref="E17:E18"/>
    <mergeCell ref="F17:F18"/>
    <mergeCell ref="A20:E20"/>
    <mergeCell ref="A22:G22"/>
    <mergeCell ref="A24:A25"/>
    <mergeCell ref="B24:B25"/>
    <mergeCell ref="C24:C25"/>
    <mergeCell ref="D24:D25"/>
    <mergeCell ref="E24:E25"/>
    <mergeCell ref="F24:F25"/>
    <mergeCell ref="G24:G25"/>
    <mergeCell ref="A37:F37"/>
    <mergeCell ref="A39:G39"/>
    <mergeCell ref="A41:A42"/>
    <mergeCell ref="B41:B42"/>
    <mergeCell ref="C41:C42"/>
    <mergeCell ref="D41:D42"/>
    <mergeCell ref="E41:E42"/>
    <mergeCell ref="F41:F42"/>
    <mergeCell ref="G41:G42"/>
    <mergeCell ref="A72:D72"/>
    <mergeCell ref="A63:F63"/>
    <mergeCell ref="A65:E65"/>
    <mergeCell ref="A67:A68"/>
    <mergeCell ref="B67:B68"/>
    <mergeCell ref="C67:C68"/>
    <mergeCell ref="D67:D68"/>
    <mergeCell ref="E67:E68"/>
  </mergeCells>
  <pageMargins left="0.7" right="0.7" top="0.75" bottom="0.75" header="0.3" footer="0.3"/>
  <pageSetup paperSize="256"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3</vt:i4>
      </vt:variant>
    </vt:vector>
  </HeadingPairs>
  <TitlesOfParts>
    <vt:vector size="16" baseType="lpstr">
      <vt:lpstr>INDICACIONES</vt:lpstr>
      <vt:lpstr>1.- datos aéreo</vt:lpstr>
      <vt:lpstr>2.- datos subt</vt:lpstr>
      <vt:lpstr>Cruces</vt:lpstr>
      <vt:lpstr>PRESUPUESTO P</vt:lpstr>
      <vt:lpstr>PRESUPUESTO  TTMM 1 UBARRUNDIA</vt:lpstr>
      <vt:lpstr>PRESUPUESTO TTMM 2  ZIGOITIA</vt:lpstr>
      <vt:lpstr>PRESUPUESTO TTMM 3 no hay</vt:lpstr>
      <vt:lpstr>EGR 1-copiar en word 0 EGR</vt:lpstr>
      <vt:lpstr>EGR2 2--copiar en word 1 EGR</vt:lpstr>
      <vt:lpstr>EGR 3-copiar en word 2 EGR</vt:lpstr>
      <vt:lpstr>EGR 4-copiar en word 3 EGR</vt:lpstr>
      <vt:lpstr>ESS 1-input-copiar en word ESS</vt:lpstr>
      <vt:lpstr>'EGR 1-copiar en word 0 EGR'!Área_de_impresión</vt:lpstr>
      <vt:lpstr>'EGR 4-copiar en word 3 EGR'!Área_de_impresión</vt:lpstr>
      <vt:lpstr>'EGR2 2--copiar en word 1 EGR'!Área_de_impresión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GAT</dc:creator>
  <cp:lastModifiedBy>Belén PITA GISMERO</cp:lastModifiedBy>
  <dcterms:created xsi:type="dcterms:W3CDTF">2022-03-02T12:46:35Z</dcterms:created>
  <dcterms:modified xsi:type="dcterms:W3CDTF">2026-03-31T17:31:01Z</dcterms:modified>
</cp:coreProperties>
</file>